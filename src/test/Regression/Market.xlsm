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/>
  </bookViews>
  <sheets>
    <sheet name="Test" sheetId="2" r:id="rId1"/>
    <sheet name="ZcAndFwd" sheetId="1" r:id="rId2"/>
    <sheet name="ZcAndFwd_ref" sheetId="4" r:id="rId3"/>
    <sheet name="Market" sheetId="3" r:id="rId4"/>
  </sheets>
  <definedNames>
    <definedName name="Market">Market!$A$1:$L$22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J12" i="3"/>
  <c r="I12"/>
  <c r="J11"/>
  <c r="I11"/>
  <c r="J10"/>
  <c r="I10"/>
  <c r="J9"/>
  <c r="I9"/>
  <c r="J8"/>
  <c r="I8"/>
  <c r="B14" i="1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10"/>
  <c r="B11"/>
  <c r="B12"/>
  <c r="B13"/>
  <c r="B9"/>
  <c r="D8" a="1"/>
  <c r="C8" a="1"/>
  <c r="C3"/>
  <c r="C11" l="1"/>
  <c r="C15"/>
  <c r="C19"/>
  <c r="C23"/>
  <c r="C27"/>
  <c r="C31"/>
  <c r="C35"/>
  <c r="C39"/>
  <c r="C43"/>
  <c r="C16"/>
  <c r="C24"/>
  <c r="C36"/>
  <c r="C10"/>
  <c r="C14"/>
  <c r="C18"/>
  <c r="C22"/>
  <c r="C26"/>
  <c r="C30"/>
  <c r="C34"/>
  <c r="C38"/>
  <c r="C42"/>
  <c r="C9"/>
  <c r="C13"/>
  <c r="C17"/>
  <c r="C21"/>
  <c r="C25"/>
  <c r="C29"/>
  <c r="C33"/>
  <c r="C37"/>
  <c r="C41"/>
  <c r="C8"/>
  <c r="C12"/>
  <c r="C20"/>
  <c r="C28"/>
  <c r="C32"/>
  <c r="C40"/>
  <c r="C44"/>
  <c r="D10"/>
  <c r="D9"/>
  <c r="D13"/>
  <c r="D17"/>
  <c r="D21"/>
  <c r="D25"/>
  <c r="D29"/>
  <c r="D33"/>
  <c r="D37"/>
  <c r="D41"/>
  <c r="D18"/>
  <c r="D34"/>
  <c r="D42"/>
  <c r="D8"/>
  <c r="D12"/>
  <c r="D16"/>
  <c r="D20"/>
  <c r="D24"/>
  <c r="D28"/>
  <c r="D32"/>
  <c r="D36"/>
  <c r="D40"/>
  <c r="D44"/>
  <c r="D11"/>
  <c r="D15"/>
  <c r="D19"/>
  <c r="D23"/>
  <c r="D27"/>
  <c r="D31"/>
  <c r="D35"/>
  <c r="D39"/>
  <c r="D43"/>
  <c r="D14"/>
  <c r="D22"/>
  <c r="D26"/>
  <c r="D30"/>
  <c r="D38"/>
</calcChain>
</file>

<file path=xl/sharedStrings.xml><?xml version="1.0" encoding="utf-8"?>
<sst xmlns="http://schemas.openxmlformats.org/spreadsheetml/2006/main" count="75" uniqueCount="67">
  <si>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</si>
  <si>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</si>
  <si>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</si>
  <si>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</si>
  <si>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</si>
  <si>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</si>
  <si>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</si>
  <si>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</si>
  <si>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</si>
  <si>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</si>
  <si>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</si>
  <si>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</si>
  <si>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</si>
  <si>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</si>
  <si>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</si>
  <si>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</si>
  <si>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RiskFree.EUR</t>
  </si>
  <si>
    <t>RiskFree.USD</t>
  </si>
  <si>
    <t>0d</t>
  </si>
  <si>
    <t>ZC</t>
  </si>
  <si>
    <t>FWD</t>
  </si>
  <si>
    <t>Sheet</t>
  </si>
  <si>
    <t>Range</t>
  </si>
  <si>
    <t>Macro</t>
  </si>
  <si>
    <t>RefSheet</t>
  </si>
  <si>
    <t>RefRange</t>
  </si>
  <si>
    <t>Tol</t>
  </si>
  <si>
    <t>SheetCalculate</t>
  </si>
  <si>
    <t>C8:D44</t>
  </si>
  <si>
    <t>ZcAndFwd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</si>
  <si>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</si>
  <si>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</si>
  <si>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</si>
  <si>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</si>
  <si>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</si>
  <si>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</si>
  <si>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</si>
  <si>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</si>
  <si>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</si>
  <si>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</si>
  <si>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</si>
  <si>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</si>
  <si>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</si>
  <si>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</si>
  <si>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</si>
  <si>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</si>
  <si>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</si>
  <si>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</si>
  <si>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</si>
  <si>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</si>
  <si>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</si>
  <si>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</si>
  <si>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</si>
  <si>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24m</t>
  </si>
  <si>
    <t>25m</t>
  </si>
  <si>
    <t>26m</t>
  </si>
  <si>
    <t>27m</t>
  </si>
  <si>
    <t>28m</t>
  </si>
  <si>
    <t>29m</t>
  </si>
  <si>
    <t>30m</t>
  </si>
  <si>
    <t>31m</t>
  </si>
  <si>
    <t>32m</t>
  </si>
  <si>
    <t>33m</t>
  </si>
  <si>
    <t>34m</t>
  </si>
  <si>
    <t>35m</t>
  </si>
  <si>
    <t>36m</t>
  </si>
  <si>
    <t>ZcAndFwd_ref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</si>
</sst>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_-* #,##0.0\ _€_-;\-* #,##0.0\ _€_-;_-* &quot;-&quot;??\ _€_-;_-@_-"/>
    <numFmt numFmtId="165" formatCode="0.0E+00"/>
    <numFmt numFmtId="166" formatCode="0.0%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4">
    <xf numFmtId="0" fontId="0" fillId="0" borderId="0" xfId="0"/>
    <xf numFmtId="10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43" fontId="0" fillId="0" borderId="0" xfId="2" applyFont="1"/>
    <xf numFmtId="164" fontId="0" fillId="0" borderId="0" xfId="2" applyNumberFormat="1" applyFont="1"/>
    <xf numFmtId="165" fontId="0" fillId="0" borderId="0" xfId="0" applyNumberFormat="1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43" fontId="0" fillId="2" borderId="0" xfId="2" applyFont="1" applyFill="1" applyBorder="1"/>
    <xf numFmtId="166" fontId="0" fillId="2" borderId="0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2"/>
  <sheetViews>
    <sheetView tabSelected="1" workbookViewId="0">
      <selection activeCell="D3" sqref="D3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21</v>
      </c>
      <c r="B1" t="s">
        <v>23</v>
      </c>
      <c r="C1" t="s">
        <v>22</v>
      </c>
      <c r="D1" t="s">
        <v>24</v>
      </c>
      <c r="E1" t="s">
        <v>25</v>
      </c>
      <c r="F1" t="s">
        <v>26</v>
      </c>
    </row>
    <row r="2" spans="1:6">
      <c r="A2" t="s">
        <v>29</v>
      </c>
      <c r="B2" t="s">
        <v>27</v>
      </c>
      <c r="C2" t="s">
        <v>28</v>
      </c>
      <c r="D2" t="s">
        <v>66</v>
      </c>
      <c r="E2" t="s">
        <v>28</v>
      </c>
      <c r="F2" s="7">
        <v>9.9999999999999995E-7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S44"/>
  <sheetViews>
    <sheetView zoomScale="85" zoomScaleNormal="85" workbookViewId="0"/>
  </sheetViews>
  <sheetFormatPr baseColWidth="10" defaultRowHeight="15"/>
  <cols>
    <col min="5" max="5" width="12.140625" bestFit="1" customWidth="1"/>
    <col min="8" max="8" width="18.42578125" bestFit="1" customWidth="1"/>
    <col min="11" max="11" width="8.42578125" customWidth="1"/>
    <col min="16" max="16" width="13.140625" bestFit="1" customWidth="1"/>
    <col min="17" max="17" width="13.28515625" bestFit="1" customWidth="1"/>
  </cols>
  <sheetData>
    <row r="3" spans="1:6">
      <c r="C3" t="e">
        <f ca="1">IF(_xll.SetMarket("mkt",Market), "mkt", FAILED)</f>
        <v>#NAME?</v>
      </c>
    </row>
    <row r="7" spans="1:6">
      <c r="C7" t="s">
        <v>19</v>
      </c>
      <c r="D7" t="s">
        <v>20</v>
      </c>
    </row>
    <row r="8" spans="1:6">
      <c r="B8" t="s">
        <v>18</v>
      </c>
      <c r="C8" s="3" t="e">
        <f t="array" aca="1" ref="C8:C44" ca="1">_xll.Discount(C3,B8:B44,"RiskFree.EUR")</f>
        <v>#NAME?</v>
      </c>
      <c r="D8" s="5" t="e">
        <f t="array" aca="1" ref="D8:D44" ca="1">_xll.AssetForward(C3,B8:B44,"STOXX_5E")</f>
        <v>#NAME?</v>
      </c>
      <c r="E8" s="5"/>
      <c r="F8" s="6"/>
    </row>
    <row r="9" spans="1:6">
      <c r="A9">
        <v>1</v>
      </c>
      <c r="B9" t="str">
        <f ca="1">A9&amp;"m"</f>
        <v>1m</v>
      </c>
      <c r="C9" s="3" t="e">
        <f ca="1"/>
        <v>#NAME?</v>
      </c>
      <c r="D9" s="5" t="e">
        <f ca="1"/>
        <v>#NAME?</v>
      </c>
      <c r="E9" s="5"/>
      <c r="F9" s="6"/>
    </row>
    <row r="10" spans="1:6">
      <c r="A10">
        <v>2</v>
      </c>
      <c r="B10" t="str">
        <f t="shared" ref="B10:B44" ca="1" si="0">A10&amp;"m"</f>
        <v>2m</v>
      </c>
      <c r="C10" s="3" t="e">
        <f ca="1"/>
        <v>#NAME?</v>
      </c>
      <c r="D10" s="5" t="e">
        <f ca="1"/>
        <v>#NAME?</v>
      </c>
      <c r="E10" s="5"/>
      <c r="F10" s="6"/>
    </row>
    <row r="11" spans="1:6">
      <c r="A11">
        <v>3</v>
      </c>
      <c r="B11" t="str">
        <f t="shared" ca="1" si="0"/>
        <v>3m</v>
      </c>
      <c r="C11" s="3" t="e">
        <f ca="1"/>
        <v>#NAME?</v>
      </c>
      <c r="D11" s="5" t="e">
        <f ca="1"/>
        <v>#NAME?</v>
      </c>
      <c r="E11" s="5"/>
      <c r="F11" s="6"/>
    </row>
    <row r="12" spans="1:6">
      <c r="A12">
        <v>4</v>
      </c>
      <c r="B12" t="str">
        <f t="shared" ca="1" si="0"/>
        <v>4m</v>
      </c>
      <c r="C12" s="3" t="e">
        <f ca="1"/>
        <v>#NAME?</v>
      </c>
      <c r="D12" s="5" t="e">
        <f ca="1"/>
        <v>#NAME?</v>
      </c>
      <c r="E12" s="5"/>
      <c r="F12" s="6"/>
    </row>
    <row r="13" spans="1:6">
      <c r="A13">
        <v>5</v>
      </c>
      <c r="B13" t="str">
        <f t="shared" ca="1" si="0"/>
        <v>5m</v>
      </c>
      <c r="C13" s="3" t="e">
        <f ca="1"/>
        <v>#NAME?</v>
      </c>
      <c r="D13" s="5" t="e">
        <f ca="1"/>
        <v>#NAME?</v>
      </c>
      <c r="E13" s="5"/>
      <c r="F13" s="6"/>
    </row>
    <row r="14" spans="1:6">
      <c r="A14">
        <v>6</v>
      </c>
      <c r="B14" t="str">
        <f t="shared" ca="1" si="0"/>
        <v>6m</v>
      </c>
      <c r="C14" s="3" t="e">
        <f ca="1"/>
        <v>#NAME?</v>
      </c>
      <c r="D14" s="5" t="e">
        <f ca="1"/>
        <v>#NAME?</v>
      </c>
      <c r="E14" s="5"/>
      <c r="F14" s="4"/>
    </row>
    <row r="15" spans="1:6">
      <c r="A15">
        <v>7</v>
      </c>
      <c r="B15" t="str">
        <f t="shared" ca="1" si="0"/>
        <v>7m</v>
      </c>
      <c r="C15" s="3" t="e">
        <f ca="1"/>
        <v>#NAME?</v>
      </c>
      <c r="D15" s="5" t="e">
        <f ca="1"/>
        <v>#NAME?</v>
      </c>
      <c r="E15" s="5"/>
      <c r="F15" s="6"/>
    </row>
    <row r="16" spans="1:6">
      <c r="A16">
        <v>8</v>
      </c>
      <c r="B16" t="str">
        <f t="shared" ca="1" si="0"/>
        <v>8m</v>
      </c>
      <c r="C16" s="3" t="e">
        <f ca="1"/>
        <v>#NAME?</v>
      </c>
      <c r="D16" s="5" t="e">
        <f ca="1"/>
        <v>#NAME?</v>
      </c>
      <c r="E16" s="5"/>
      <c r="F16" s="6"/>
    </row>
    <row r="17" spans="1:19">
      <c r="A17">
        <v>9</v>
      </c>
      <c r="B17" t="str">
        <f t="shared" ca="1" si="0"/>
        <v>9m</v>
      </c>
      <c r="C17" s="3" t="e">
        <f ca="1"/>
        <v>#NAME?</v>
      </c>
      <c r="D17" s="5" t="e">
        <f ca="1"/>
        <v>#NAME?</v>
      </c>
      <c r="E17" s="5"/>
      <c r="F17" s="6"/>
      <c r="S17" s="1"/>
    </row>
    <row r="18" spans="1:19">
      <c r="A18">
        <v>10</v>
      </c>
      <c r="B18" t="str">
        <f t="shared" ca="1" si="0"/>
        <v>10m</v>
      </c>
      <c r="C18" s="3" t="e">
        <f ca="1"/>
        <v>#NAME?</v>
      </c>
      <c r="D18" s="5" t="e">
        <f ca="1"/>
        <v>#NAME?</v>
      </c>
      <c r="E18" s="5"/>
      <c r="F18" s="6"/>
      <c r="S18" s="1"/>
    </row>
    <row r="19" spans="1:19">
      <c r="A19">
        <v>11</v>
      </c>
      <c r="B19" t="str">
        <f t="shared" ca="1" si="0"/>
        <v>11m</v>
      </c>
      <c r="C19" s="3" t="e">
        <f ca="1"/>
        <v>#NAME?</v>
      </c>
      <c r="D19" s="5" t="e">
        <f ca="1"/>
        <v>#NAME?</v>
      </c>
      <c r="E19" s="5"/>
      <c r="F19" s="6"/>
    </row>
    <row r="20" spans="1:19">
      <c r="A20">
        <v>12</v>
      </c>
      <c r="B20" t="str">
        <f t="shared" ca="1" si="0"/>
        <v>12m</v>
      </c>
      <c r="C20" s="3" t="e">
        <f ca="1"/>
        <v>#NAME?</v>
      </c>
      <c r="D20" s="5" t="e">
        <f ca="1"/>
        <v>#NAME?</v>
      </c>
      <c r="E20" s="5"/>
      <c r="F20" s="6"/>
    </row>
    <row r="21" spans="1:19">
      <c r="A21">
        <v>13</v>
      </c>
      <c r="B21" t="str">
        <f t="shared" ca="1" si="0"/>
        <v>13m</v>
      </c>
      <c r="C21" s="3" t="e">
        <f ca="1"/>
        <v>#NAME?</v>
      </c>
      <c r="D21" s="5" t="e">
        <f ca="1"/>
        <v>#NAME?</v>
      </c>
      <c r="E21" s="5"/>
      <c r="F21" s="6"/>
    </row>
    <row r="22" spans="1:19">
      <c r="A22">
        <v>14</v>
      </c>
      <c r="B22" t="str">
        <f t="shared" ca="1" si="0"/>
        <v>14m</v>
      </c>
      <c r="C22" s="3" t="e">
        <f ca="1"/>
        <v>#NAME?</v>
      </c>
      <c r="D22" s="5" t="e">
        <f ca="1"/>
        <v>#NAME?</v>
      </c>
      <c r="E22" s="5"/>
      <c r="F22" s="6"/>
    </row>
    <row r="23" spans="1:19">
      <c r="A23">
        <v>15</v>
      </c>
      <c r="B23" t="str">
        <f t="shared" ca="1" si="0"/>
        <v>15m</v>
      </c>
      <c r="C23" s="3" t="e">
        <f ca="1"/>
        <v>#NAME?</v>
      </c>
      <c r="D23" s="5" t="e">
        <f ca="1"/>
        <v>#NAME?</v>
      </c>
      <c r="E23" s="5"/>
      <c r="F23" s="6"/>
    </row>
    <row r="24" spans="1:19">
      <c r="A24">
        <v>16</v>
      </c>
      <c r="B24" t="str">
        <f t="shared" ca="1" si="0"/>
        <v>16m</v>
      </c>
      <c r="C24" s="3" t="e">
        <f ca="1"/>
        <v>#NAME?</v>
      </c>
      <c r="D24" s="5" t="e">
        <f ca="1"/>
        <v>#NAME?</v>
      </c>
      <c r="E24" s="5"/>
      <c r="F24" s="6"/>
    </row>
    <row r="25" spans="1:19">
      <c r="A25">
        <v>17</v>
      </c>
      <c r="B25" t="str">
        <f t="shared" ca="1" si="0"/>
        <v>17m</v>
      </c>
      <c r="C25" s="3" t="e">
        <f ca="1"/>
        <v>#NAME?</v>
      </c>
      <c r="D25" s="5" t="e">
        <f ca="1"/>
        <v>#NAME?</v>
      </c>
      <c r="E25" s="5"/>
      <c r="F25" s="6"/>
    </row>
    <row r="26" spans="1:19">
      <c r="A26">
        <v>18</v>
      </c>
      <c r="B26" t="str">
        <f t="shared" ca="1" si="0"/>
        <v>18m</v>
      </c>
      <c r="C26" s="3" t="e">
        <f ca="1"/>
        <v>#NAME?</v>
      </c>
      <c r="D26" s="5" t="e">
        <f ca="1"/>
        <v>#NAME?</v>
      </c>
      <c r="E26" s="5"/>
      <c r="F26" s="6"/>
    </row>
    <row r="27" spans="1:19">
      <c r="A27">
        <v>19</v>
      </c>
      <c r="B27" t="str">
        <f t="shared" ca="1" si="0"/>
        <v>19m</v>
      </c>
      <c r="C27" s="3" t="e">
        <f ca="1"/>
        <v>#NAME?</v>
      </c>
      <c r="D27" s="5" t="e">
        <f ca="1"/>
        <v>#NAME?</v>
      </c>
      <c r="E27" s="5"/>
      <c r="F27" s="6"/>
    </row>
    <row r="28" spans="1:19">
      <c r="A28">
        <v>20</v>
      </c>
      <c r="B28" t="str">
        <f t="shared" ca="1" si="0"/>
        <v>20m</v>
      </c>
      <c r="C28" s="3" t="e">
        <f ca="1"/>
        <v>#NAME?</v>
      </c>
      <c r="D28" s="5" t="e">
        <f ca="1"/>
        <v>#NAME?</v>
      </c>
      <c r="E28" s="5"/>
      <c r="F28" s="6"/>
    </row>
    <row r="29" spans="1:19">
      <c r="A29">
        <v>21</v>
      </c>
      <c r="B29" t="str">
        <f t="shared" ca="1" si="0"/>
        <v>21m</v>
      </c>
      <c r="C29" s="3" t="e">
        <f ca="1"/>
        <v>#NAME?</v>
      </c>
      <c r="D29" s="5" t="e">
        <f ca="1"/>
        <v>#NAME?</v>
      </c>
      <c r="E29" s="5"/>
      <c r="F29" s="6"/>
    </row>
    <row r="30" spans="1:19">
      <c r="A30">
        <v>22</v>
      </c>
      <c r="B30" t="str">
        <f t="shared" ca="1" si="0"/>
        <v>22m</v>
      </c>
      <c r="C30" s="3" t="e">
        <f ca="1"/>
        <v>#NAME?</v>
      </c>
      <c r="D30" s="5" t="e">
        <f ca="1"/>
        <v>#NAME?</v>
      </c>
      <c r="E30" s="5"/>
      <c r="F30" s="6"/>
    </row>
    <row r="31" spans="1:19">
      <c r="A31">
        <v>23</v>
      </c>
      <c r="B31" t="str">
        <f t="shared" ca="1" si="0"/>
        <v>23m</v>
      </c>
      <c r="C31" s="3" t="e">
        <f ca="1"/>
        <v>#NAME?</v>
      </c>
      <c r="D31" s="5" t="e">
        <f ca="1"/>
        <v>#NAME?</v>
      </c>
      <c r="E31" s="5"/>
      <c r="F31" s="6"/>
    </row>
    <row r="32" spans="1:19">
      <c r="A32">
        <v>24</v>
      </c>
      <c r="B32" t="str">
        <f t="shared" ca="1" si="0"/>
        <v>24m</v>
      </c>
      <c r="C32" s="3" t="e">
        <f ca="1"/>
        <v>#NAME?</v>
      </c>
      <c r="D32" s="5" t="e">
        <f ca="1"/>
        <v>#NAME?</v>
      </c>
      <c r="E32" s="5"/>
      <c r="F32" s="6"/>
    </row>
    <row r="33" spans="1:6">
      <c r="A33">
        <v>25</v>
      </c>
      <c r="B33" t="str">
        <f t="shared" ca="1" si="0"/>
        <v>25m</v>
      </c>
      <c r="C33" s="3" t="e">
        <f ca="1"/>
        <v>#NAME?</v>
      </c>
      <c r="D33" s="5" t="e">
        <f ca="1"/>
        <v>#NAME?</v>
      </c>
      <c r="E33" s="5"/>
      <c r="F33" s="6"/>
    </row>
    <row r="34" spans="1:6">
      <c r="A34">
        <v>26</v>
      </c>
      <c r="B34" t="str">
        <f t="shared" ca="1" si="0"/>
        <v>26m</v>
      </c>
      <c r="C34" s="3" t="e">
        <f ca="1"/>
        <v>#NAME?</v>
      </c>
      <c r="D34" s="5" t="e">
        <f ca="1"/>
        <v>#NAME?</v>
      </c>
      <c r="E34" s="5"/>
      <c r="F34" s="6"/>
    </row>
    <row r="35" spans="1:6">
      <c r="A35">
        <v>27</v>
      </c>
      <c r="B35" t="str">
        <f t="shared" ca="1" si="0"/>
        <v>27m</v>
      </c>
      <c r="C35" s="3" t="e">
        <f ca="1"/>
        <v>#NAME?</v>
      </c>
      <c r="D35" s="5" t="e">
        <f ca="1"/>
        <v>#NAME?</v>
      </c>
      <c r="E35" s="5"/>
      <c r="F35" s="6"/>
    </row>
    <row r="36" spans="1:6">
      <c r="A36">
        <v>28</v>
      </c>
      <c r="B36" t="str">
        <f t="shared" ca="1" si="0"/>
        <v>28m</v>
      </c>
      <c r="C36" s="3" t="e">
        <f ca="1"/>
        <v>#NAME?</v>
      </c>
      <c r="D36" s="5" t="e">
        <f ca="1"/>
        <v>#NAME?</v>
      </c>
      <c r="E36" s="5"/>
      <c r="F36" s="6"/>
    </row>
    <row r="37" spans="1:6">
      <c r="A37">
        <v>29</v>
      </c>
      <c r="B37" t="str">
        <f t="shared" ca="1" si="0"/>
        <v>29m</v>
      </c>
      <c r="C37" s="3" t="e">
        <f ca="1"/>
        <v>#NAME?</v>
      </c>
      <c r="D37" s="5" t="e">
        <f ca="1"/>
        <v>#NAME?</v>
      </c>
      <c r="E37" s="5"/>
      <c r="F37" s="6"/>
    </row>
    <row r="38" spans="1:6">
      <c r="A38">
        <v>30</v>
      </c>
      <c r="B38" t="str">
        <f t="shared" ca="1" si="0"/>
        <v>30m</v>
      </c>
      <c r="C38" s="3" t="e">
        <f ca="1"/>
        <v>#NAME?</v>
      </c>
      <c r="D38" s="5" t="e">
        <f ca="1"/>
        <v>#NAME?</v>
      </c>
      <c r="E38" s="5"/>
      <c r="F38" s="6"/>
    </row>
    <row r="39" spans="1:6">
      <c r="A39">
        <v>31</v>
      </c>
      <c r="B39" t="str">
        <f t="shared" ca="1" si="0"/>
        <v>31m</v>
      </c>
      <c r="C39" s="3" t="e">
        <f ca="1"/>
        <v>#NAME?</v>
      </c>
      <c r="D39" s="5" t="e">
        <f ca="1"/>
        <v>#NAME?</v>
      </c>
      <c r="E39" s="5"/>
      <c r="F39" s="6"/>
    </row>
    <row r="40" spans="1:6">
      <c r="A40">
        <v>32</v>
      </c>
      <c r="B40" t="str">
        <f t="shared" ca="1" si="0"/>
        <v>32m</v>
      </c>
      <c r="C40" s="3" t="e">
        <f ca="1"/>
        <v>#NAME?</v>
      </c>
      <c r="D40" s="5" t="e">
        <f ca="1"/>
        <v>#NAME?</v>
      </c>
      <c r="E40" s="5"/>
      <c r="F40" s="6"/>
    </row>
    <row r="41" spans="1:6">
      <c r="A41">
        <v>33</v>
      </c>
      <c r="B41" t="str">
        <f t="shared" ca="1" si="0"/>
        <v>33m</v>
      </c>
      <c r="C41" s="3" t="e">
        <f ca="1"/>
        <v>#NAME?</v>
      </c>
      <c r="D41" s="5" t="e">
        <f ca="1"/>
        <v>#NAME?</v>
      </c>
      <c r="E41" s="5"/>
      <c r="F41" s="6"/>
    </row>
    <row r="42" spans="1:6">
      <c r="A42">
        <v>34</v>
      </c>
      <c r="B42" t="str">
        <f t="shared" ca="1" si="0"/>
        <v>34m</v>
      </c>
      <c r="C42" s="3" t="e">
        <f ca="1"/>
        <v>#NAME?</v>
      </c>
      <c r="D42" s="5" t="e">
        <f ca="1"/>
        <v>#NAME?</v>
      </c>
      <c r="E42" s="5"/>
      <c r="F42" s="6"/>
    </row>
    <row r="43" spans="1:6">
      <c r="A43">
        <v>35</v>
      </c>
      <c r="B43" t="str">
        <f t="shared" ca="1" si="0"/>
        <v>35m</v>
      </c>
      <c r="C43" s="3" t="e">
        <f ca="1"/>
        <v>#NAME?</v>
      </c>
      <c r="D43" s="5" t="e">
        <f ca="1"/>
        <v>#NAME?</v>
      </c>
      <c r="E43" s="5"/>
      <c r="F43" s="6"/>
    </row>
    <row r="44" spans="1:6">
      <c r="A44">
        <v>36</v>
      </c>
      <c r="B44" t="str">
        <f t="shared" ca="1" si="0"/>
        <v>36m</v>
      </c>
      <c r="C44" s="3" t="e">
        <f ca="1"/>
        <v>#NAME?</v>
      </c>
      <c r="D44" s="5" t="e">
        <f ca="1"/>
        <v>#NAME?</v>
      </c>
      <c r="E44" s="5"/>
      <c r="F4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7:S44"/>
  <sheetViews>
    <sheetView zoomScale="85" zoomScaleNormal="85" workbookViewId="0">
      <selection activeCell="C3" sqref="C3"/>
    </sheetView>
  </sheetViews>
  <sheetFormatPr baseColWidth="10" defaultRowHeight="15"/>
  <cols>
    <col min="5" max="5" width="12.140625" bestFit="1" customWidth="1"/>
    <col min="8" max="8" width="18.42578125" bestFit="1" customWidth="1"/>
    <col min="11" max="11" width="8.42578125" customWidth="1"/>
    <col min="16" max="16" width="13.140625" bestFit="1" customWidth="1"/>
    <col min="17" max="17" width="13.28515625" bestFit="1" customWidth="1"/>
  </cols>
  <sheetData>
    <row r="7" spans="1:6">
      <c r="C7" t="s">
        <v>19</v>
      </c>
      <c r="D7" t="s">
        <v>20</v>
      </c>
    </row>
    <row r="8" spans="1:6">
      <c r="B8" t="s">
        <v>18</v>
      </c>
      <c r="C8" s="3">
        <v>1</v>
      </c>
      <c r="D8" s="5">
        <v>3500</v>
      </c>
      <c r="E8" s="5"/>
      <c r="F8" s="6"/>
    </row>
    <row r="9" spans="1:6">
      <c r="A9">
        <v>1</v>
      </c>
      <c r="B9" t="s">
        <v>30</v>
      </c>
      <c r="C9" s="3">
        <v>0.99846692977925156</v>
      </c>
      <c r="D9" s="5">
        <v>3505.3739844681745</v>
      </c>
      <c r="E9" s="5"/>
      <c r="F9" s="6"/>
    </row>
    <row r="10" spans="1:6">
      <c r="A10">
        <v>2</v>
      </c>
      <c r="B10" t="s">
        <v>31</v>
      </c>
      <c r="C10" s="3">
        <v>0.99677234340674081</v>
      </c>
      <c r="D10" s="5">
        <v>3511.3333783296971</v>
      </c>
      <c r="E10" s="5"/>
      <c r="F10" s="6"/>
    </row>
    <row r="11" spans="1:6">
      <c r="A11">
        <v>3</v>
      </c>
      <c r="B11" t="s">
        <v>32</v>
      </c>
      <c r="C11" s="3">
        <v>0.99513515952642051</v>
      </c>
      <c r="D11" s="5">
        <v>3517.1101799534758</v>
      </c>
      <c r="E11" s="5"/>
      <c r="F11" s="6"/>
    </row>
    <row r="12" spans="1:6">
      <c r="A12">
        <v>4</v>
      </c>
      <c r="B12" t="s">
        <v>33</v>
      </c>
      <c r="C12" s="3">
        <v>0.99344622779533898</v>
      </c>
      <c r="D12" s="5">
        <v>3523.0895262114168</v>
      </c>
      <c r="E12" s="5"/>
      <c r="F12" s="6"/>
    </row>
    <row r="13" spans="1:6">
      <c r="A13">
        <v>5</v>
      </c>
      <c r="B13" t="s">
        <v>34</v>
      </c>
      <c r="C13" s="3">
        <v>0.99181450701087914</v>
      </c>
      <c r="D13" s="5">
        <v>3528.8856689022086</v>
      </c>
      <c r="E13" s="5"/>
      <c r="F13" s="6"/>
    </row>
    <row r="14" spans="1:6">
      <c r="A14">
        <v>6</v>
      </c>
      <c r="B14" t="s">
        <v>35</v>
      </c>
      <c r="C14" s="3">
        <v>0.99013121105233326</v>
      </c>
      <c r="D14" s="5">
        <v>3454.8850343583485</v>
      </c>
      <c r="E14" s="5"/>
      <c r="F14" s="4"/>
    </row>
    <row r="15" spans="1:6">
      <c r="A15">
        <v>7</v>
      </c>
      <c r="B15" t="s">
        <v>36</v>
      </c>
      <c r="C15" s="3">
        <v>0.98845077196396225</v>
      </c>
      <c r="D15" s="5">
        <v>3460.7585932873658</v>
      </c>
      <c r="E15" s="5"/>
      <c r="F15" s="6"/>
    </row>
    <row r="16" spans="1:6">
      <c r="A16">
        <v>8</v>
      </c>
      <c r="B16" t="s">
        <v>37</v>
      </c>
      <c r="C16" s="3">
        <v>0.9868272561420659</v>
      </c>
      <c r="D16" s="5">
        <v>3466.4521899092629</v>
      </c>
      <c r="E16" s="5"/>
      <c r="F16" s="6"/>
    </row>
    <row r="17" spans="1:19">
      <c r="A17">
        <v>9</v>
      </c>
      <c r="B17" t="s">
        <v>38</v>
      </c>
      <c r="C17" s="3">
        <v>0.9851524244872506</v>
      </c>
      <c r="D17" s="5">
        <v>3472.3454138543652</v>
      </c>
      <c r="E17" s="5"/>
      <c r="F17" s="6"/>
      <c r="S17" s="1"/>
    </row>
    <row r="18" spans="1:19">
      <c r="A18">
        <v>10</v>
      </c>
      <c r="B18" t="s">
        <v>39</v>
      </c>
      <c r="C18" s="3">
        <v>0.98353432615246283</v>
      </c>
      <c r="D18" s="5">
        <v>3478.0580729680992</v>
      </c>
      <c r="E18" s="5"/>
      <c r="F18" s="6"/>
      <c r="S18" s="1"/>
    </row>
    <row r="19" spans="1:19">
      <c r="A19">
        <v>11</v>
      </c>
      <c r="B19" t="s">
        <v>40</v>
      </c>
      <c r="C19" s="3">
        <v>0.98186508321983701</v>
      </c>
      <c r="D19" s="5">
        <v>3483.971027768901</v>
      </c>
      <c r="E19" s="5"/>
      <c r="F19" s="6"/>
    </row>
    <row r="20" spans="1:19">
      <c r="A20">
        <v>12</v>
      </c>
      <c r="B20" t="s">
        <v>41</v>
      </c>
      <c r="C20" s="3">
        <v>0.98019867330675525</v>
      </c>
      <c r="D20" s="5">
        <v>3409.8940350282128</v>
      </c>
      <c r="E20" s="5"/>
      <c r="F20" s="6"/>
    </row>
    <row r="21" spans="1:19">
      <c r="A21">
        <v>13</v>
      </c>
      <c r="B21" t="s">
        <v>42</v>
      </c>
      <c r="C21" s="3">
        <v>0.97864462431916521</v>
      </c>
      <c r="D21" s="5">
        <v>3415.3088119975459</v>
      </c>
      <c r="E21" s="5"/>
      <c r="F21" s="6"/>
    </row>
    <row r="22" spans="1:19">
      <c r="A22">
        <v>14</v>
      </c>
      <c r="B22" t="s">
        <v>43</v>
      </c>
      <c r="C22" s="3">
        <v>0.97698649620575906</v>
      </c>
      <c r="D22" s="5">
        <v>3421.1052273821288</v>
      </c>
      <c r="E22" s="5"/>
      <c r="F22" s="6"/>
    </row>
    <row r="23" spans="1:19">
      <c r="A23">
        <v>15</v>
      </c>
      <c r="B23" t="s">
        <v>44</v>
      </c>
      <c r="C23" s="3">
        <v>0.97538489661873273</v>
      </c>
      <c r="D23" s="5">
        <v>3426.7227438500822</v>
      </c>
      <c r="E23" s="5"/>
      <c r="F23" s="6"/>
    </row>
    <row r="24" spans="1:19">
      <c r="A24">
        <v>16</v>
      </c>
      <c r="B24" t="s">
        <v>45</v>
      </c>
      <c r="C24" s="3">
        <v>0.97373304572031294</v>
      </c>
      <c r="D24" s="5">
        <v>3432.5358720662216</v>
      </c>
      <c r="E24" s="5"/>
      <c r="F24" s="6"/>
    </row>
    <row r="25" spans="1:19">
      <c r="A25">
        <v>17</v>
      </c>
      <c r="B25" t="s">
        <v>46</v>
      </c>
      <c r="C25" s="3">
        <v>0.97213750829751688</v>
      </c>
      <c r="D25" s="5">
        <v>3438.1695806642606</v>
      </c>
      <c r="E25" s="5"/>
      <c r="F25" s="6"/>
    </row>
    <row r="26" spans="1:19">
      <c r="A26">
        <v>18</v>
      </c>
      <c r="B26" t="s">
        <v>47</v>
      </c>
      <c r="C26" s="3">
        <v>0.97049190868579072</v>
      </c>
      <c r="D26" s="5">
        <v>3357.8994733021254</v>
      </c>
      <c r="E26" s="5"/>
      <c r="F26" s="6"/>
    </row>
    <row r="27" spans="1:19">
      <c r="A27">
        <v>19</v>
      </c>
      <c r="B27" t="s">
        <v>48</v>
      </c>
      <c r="C27" s="3">
        <v>0.96884947605777838</v>
      </c>
      <c r="D27" s="5">
        <v>3363.5919196447476</v>
      </c>
      <c r="E27" s="5"/>
      <c r="F27" s="6"/>
    </row>
    <row r="28" spans="1:19">
      <c r="A28">
        <v>20</v>
      </c>
      <c r="B28" t="s">
        <v>49</v>
      </c>
      <c r="C28" s="3">
        <v>0.96726303425249216</v>
      </c>
      <c r="D28" s="5">
        <v>3369.1086639513996</v>
      </c>
      <c r="E28" s="5"/>
      <c r="F28" s="6"/>
    </row>
    <row r="29" spans="1:19">
      <c r="A29">
        <v>21</v>
      </c>
      <c r="B29" t="s">
        <v>50</v>
      </c>
      <c r="C29" s="3">
        <v>0.96562681402326533</v>
      </c>
      <c r="D29" s="5">
        <v>3374.8174985346614</v>
      </c>
      <c r="E29" s="5"/>
      <c r="F29" s="6"/>
    </row>
    <row r="30" spans="1:19">
      <c r="A30">
        <v>22</v>
      </c>
      <c r="B30" t="s">
        <v>51</v>
      </c>
      <c r="C30" s="3">
        <v>0.96404637179591224</v>
      </c>
      <c r="D30" s="5">
        <v>3380.3501204503041</v>
      </c>
      <c r="E30" s="5"/>
      <c r="F30" s="6"/>
    </row>
    <row r="31" spans="1:19">
      <c r="A31">
        <v>23</v>
      </c>
      <c r="B31" t="s">
        <v>52</v>
      </c>
      <c r="C31" s="3">
        <v>0.96241633832422613</v>
      </c>
      <c r="D31" s="5">
        <v>3386.0753805305167</v>
      </c>
      <c r="E31" s="5"/>
      <c r="F31" s="6"/>
    </row>
    <row r="32" spans="1:19">
      <c r="A32">
        <v>24</v>
      </c>
      <c r="B32" t="s">
        <v>53</v>
      </c>
      <c r="C32" s="3">
        <v>0.96078943915232318</v>
      </c>
      <c r="D32" s="5">
        <v>3307.0137772307007</v>
      </c>
      <c r="E32" s="5"/>
      <c r="F32" s="6"/>
    </row>
    <row r="33" spans="1:6">
      <c r="A33">
        <v>25</v>
      </c>
      <c r="B33" t="s">
        <v>54</v>
      </c>
      <c r="C33" s="3">
        <v>0.9593171005724318</v>
      </c>
      <c r="D33" s="5">
        <v>3312.0893085284788</v>
      </c>
      <c r="E33" s="5"/>
      <c r="F33" s="6"/>
    </row>
    <row r="34" spans="1:6">
      <c r="A34">
        <v>26</v>
      </c>
      <c r="B34" t="s">
        <v>55</v>
      </c>
      <c r="C34" s="3">
        <v>0.9576895233005297</v>
      </c>
      <c r="D34" s="5">
        <v>3317.7181487213766</v>
      </c>
      <c r="E34" s="5"/>
      <c r="F34" s="6"/>
    </row>
    <row r="35" spans="1:6">
      <c r="A35">
        <v>27</v>
      </c>
      <c r="B35" t="s">
        <v>56</v>
      </c>
      <c r="C35" s="3">
        <v>0.95611695807361519</v>
      </c>
      <c r="D35" s="5">
        <v>3323.1749374011779</v>
      </c>
      <c r="E35" s="5"/>
      <c r="F35" s="6"/>
    </row>
    <row r="36" spans="1:6">
      <c r="A36">
        <v>28</v>
      </c>
      <c r="B36" t="s">
        <v>57</v>
      </c>
      <c r="C36" s="3">
        <v>0.95449456327265247</v>
      </c>
      <c r="D36" s="5">
        <v>3328.823478470541</v>
      </c>
      <c r="E36" s="5"/>
      <c r="F36" s="6"/>
    </row>
    <row r="37" spans="1:6">
      <c r="A37">
        <v>29</v>
      </c>
      <c r="B37" t="s">
        <v>58</v>
      </c>
      <c r="C37" s="3">
        <v>0.9529270057664847</v>
      </c>
      <c r="D37" s="5">
        <v>3334.299367178498</v>
      </c>
      <c r="E37" s="5"/>
      <c r="F37" s="6"/>
    </row>
    <row r="38" spans="1:6">
      <c r="A38">
        <v>30</v>
      </c>
      <c r="B38" t="s">
        <v>59</v>
      </c>
      <c r="C38" s="3">
        <v>0.9513097777952787</v>
      </c>
      <c r="D38" s="5">
        <v>3256.4684888099587</v>
      </c>
      <c r="E38" s="5"/>
      <c r="F38" s="6"/>
    </row>
    <row r="39" spans="1:6">
      <c r="A39">
        <v>31</v>
      </c>
      <c r="B39" t="s">
        <v>60</v>
      </c>
      <c r="C39" s="3">
        <v>0.94969516961004108</v>
      </c>
      <c r="D39" s="5">
        <v>3262.0049186510832</v>
      </c>
      <c r="E39" s="5"/>
      <c r="F39" s="6"/>
    </row>
    <row r="40" spans="1:6">
      <c r="A40">
        <v>32</v>
      </c>
      <c r="B40" t="s">
        <v>61</v>
      </c>
      <c r="C40" s="3">
        <v>0.94813513615636247</v>
      </c>
      <c r="D40" s="5">
        <v>3267.3721248700081</v>
      </c>
      <c r="E40" s="5"/>
      <c r="F40" s="6"/>
    </row>
    <row r="41" spans="1:6">
      <c r="A41">
        <v>33</v>
      </c>
      <c r="B41" t="s">
        <v>62</v>
      </c>
      <c r="C41" s="3">
        <v>0.94652567129467391</v>
      </c>
      <c r="D41" s="5">
        <v>3272.9279389218827</v>
      </c>
      <c r="E41" s="5"/>
      <c r="F41" s="6"/>
    </row>
    <row r="42" spans="1:6">
      <c r="A42">
        <v>34</v>
      </c>
      <c r="B42" t="s">
        <v>63</v>
      </c>
      <c r="C42" s="3">
        <v>0.94497060773087693</v>
      </c>
      <c r="D42" s="5">
        <v>3278.3139381721367</v>
      </c>
      <c r="E42" s="5"/>
      <c r="F42" s="6"/>
    </row>
    <row r="43" spans="1:6">
      <c r="A43">
        <v>35</v>
      </c>
      <c r="B43" t="s">
        <v>64</v>
      </c>
      <c r="C43" s="3">
        <v>0.94336627066247447</v>
      </c>
      <c r="D43" s="5">
        <v>3283.8892070114357</v>
      </c>
      <c r="E43" s="5"/>
      <c r="F43" s="6"/>
    </row>
    <row r="44" spans="1:6">
      <c r="A44">
        <v>36</v>
      </c>
      <c r="B44" t="s">
        <v>65</v>
      </c>
      <c r="C44" s="3">
        <v>0.94176453358424872</v>
      </c>
      <c r="D44" s="5">
        <v>3289.4743898422616</v>
      </c>
      <c r="E44" s="5"/>
      <c r="F44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P22"/>
  <sheetViews>
    <sheetView workbookViewId="0">
      <selection activeCell="L22" sqref="A1:L22"/>
    </sheetView>
  </sheetViews>
  <sheetFormatPr baseColWidth="10" defaultRowHeight="15"/>
  <cols>
    <col min="1" max="1" width="18.42578125" bestFit="1" customWidth="1"/>
    <col min="2" max="2" width="10.7109375" bestFit="1" customWidth="1"/>
    <col min="3" max="3" width="8.85546875" bestFit="1" customWidth="1"/>
    <col min="5" max="5" width="5.5703125" bestFit="1" customWidth="1"/>
    <col min="6" max="6" width="9.7109375" bestFit="1" customWidth="1"/>
    <col min="8" max="8" width="8.7109375" bestFit="1" customWidth="1"/>
    <col min="9" max="9" width="12.5703125" bestFit="1" customWidth="1"/>
    <col min="10" max="10" width="12.7109375" bestFit="1" customWidth="1"/>
  </cols>
  <sheetData>
    <row r="1" spans="1:16">
      <c r="A1" s="8" t="s">
        <v>0</v>
      </c>
      <c r="B1" s="9">
        <v>42057</v>
      </c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6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4"/>
    </row>
    <row r="3" spans="1:16">
      <c r="A3" s="12" t="s">
        <v>1</v>
      </c>
      <c r="B3" s="13" t="s">
        <v>3</v>
      </c>
      <c r="C3" s="13" t="s">
        <v>4</v>
      </c>
      <c r="D3" s="13"/>
      <c r="E3" s="13"/>
      <c r="F3" s="13"/>
      <c r="G3" s="13"/>
      <c r="H3" s="13"/>
      <c r="I3" s="13"/>
      <c r="J3" s="13"/>
      <c r="K3" s="13"/>
      <c r="L3" s="14"/>
    </row>
    <row r="4" spans="1:16">
      <c r="A4" s="12" t="s">
        <v>2</v>
      </c>
      <c r="B4" s="13">
        <v>3500</v>
      </c>
      <c r="C4" s="13" t="s">
        <v>5</v>
      </c>
      <c r="D4" s="13"/>
      <c r="E4" s="13"/>
      <c r="F4" s="13"/>
      <c r="G4" s="13"/>
      <c r="H4" s="13"/>
      <c r="I4" s="13"/>
      <c r="J4" s="13"/>
      <c r="K4" s="13"/>
      <c r="L4" s="14"/>
    </row>
    <row r="5" spans="1:16">
      <c r="A5" s="12"/>
      <c r="B5" s="13"/>
      <c r="C5" s="13"/>
      <c r="D5" s="13"/>
      <c r="E5" s="13"/>
      <c r="F5" s="13"/>
      <c r="G5" s="13"/>
      <c r="H5" s="13"/>
      <c r="I5" s="13"/>
      <c r="J5" s="13"/>
      <c r="K5" s="13"/>
      <c r="L5" s="14"/>
    </row>
    <row r="6" spans="1:16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4"/>
    </row>
    <row r="7" spans="1:16">
      <c r="A7" s="12" t="s">
        <v>10</v>
      </c>
      <c r="B7" s="13" t="s">
        <v>11</v>
      </c>
      <c r="C7" s="13" t="s">
        <v>12</v>
      </c>
      <c r="D7" s="13"/>
      <c r="E7" s="13" t="s">
        <v>6</v>
      </c>
      <c r="F7" s="13" t="s">
        <v>2</v>
      </c>
      <c r="G7" s="13"/>
      <c r="H7" s="13" t="s">
        <v>13</v>
      </c>
      <c r="I7" s="13" t="s">
        <v>16</v>
      </c>
      <c r="J7" s="13" t="s">
        <v>17</v>
      </c>
      <c r="K7" s="13"/>
      <c r="L7" s="14"/>
    </row>
    <row r="8" spans="1:16">
      <c r="A8" s="15">
        <v>42238</v>
      </c>
      <c r="B8" s="16">
        <v>80</v>
      </c>
      <c r="C8" s="17">
        <v>0</v>
      </c>
      <c r="D8" s="13"/>
      <c r="E8" s="13" t="s">
        <v>7</v>
      </c>
      <c r="F8" s="18">
        <v>0</v>
      </c>
      <c r="G8" s="13"/>
      <c r="H8" s="13" t="s">
        <v>7</v>
      </c>
      <c r="I8" s="19">
        <f ca="1">EXP(-N8*O8)</f>
        <v>0.98019867330675525</v>
      </c>
      <c r="J8" s="19">
        <f ca="1">EXP(-N8*P8)</f>
        <v>0.997004495503373</v>
      </c>
      <c r="K8" s="13"/>
      <c r="L8" s="14"/>
      <c r="N8">
        <v>1</v>
      </c>
      <c r="O8" s="3">
        <v>0.02</v>
      </c>
      <c r="P8" s="1">
        <v>3.0000000000000001E-3</v>
      </c>
    </row>
    <row r="9" spans="1:16">
      <c r="A9" s="15">
        <v>42422</v>
      </c>
      <c r="B9" s="16">
        <v>80</v>
      </c>
      <c r="C9" s="17">
        <v>0</v>
      </c>
      <c r="D9" s="13"/>
      <c r="E9" s="13" t="s">
        <v>8</v>
      </c>
      <c r="F9" s="18">
        <v>0</v>
      </c>
      <c r="G9" s="13"/>
      <c r="H9" s="13" t="s">
        <v>8</v>
      </c>
      <c r="I9" s="19">
        <f ca="1">EXP(-N9*O9)</f>
        <v>0.96078943915232318</v>
      </c>
      <c r="J9" s="19">
        <f ca="1">EXP(-N9*P9)</f>
        <v>0.98609754426286189</v>
      </c>
      <c r="K9" s="13"/>
      <c r="L9" s="14"/>
      <c r="N9">
        <v>2</v>
      </c>
      <c r="O9" s="1">
        <v>0.02</v>
      </c>
      <c r="P9" s="1">
        <v>7.0000000000000001E-3</v>
      </c>
    </row>
    <row r="10" spans="1:16">
      <c r="A10" s="15">
        <v>42604</v>
      </c>
      <c r="B10" s="16">
        <v>0</v>
      </c>
      <c r="C10" s="17">
        <v>2.5000000000000001E-2</v>
      </c>
      <c r="D10" s="13"/>
      <c r="E10" s="13" t="s">
        <v>9</v>
      </c>
      <c r="F10" s="18">
        <v>0</v>
      </c>
      <c r="G10" s="13"/>
      <c r="H10" s="13" t="s">
        <v>14</v>
      </c>
      <c r="I10" s="19">
        <f ca="1">EXP(-N10*O10)</f>
        <v>0.94176453358424872</v>
      </c>
      <c r="J10" s="19">
        <f ca="1">EXP(-N10*P10)</f>
        <v>0.97044553354850815</v>
      </c>
      <c r="K10" s="13"/>
      <c r="L10" s="14"/>
      <c r="N10">
        <v>3</v>
      </c>
      <c r="O10" s="1">
        <v>0.02</v>
      </c>
      <c r="P10" s="2">
        <v>0.01</v>
      </c>
    </row>
    <row r="11" spans="1:16">
      <c r="A11" s="15">
        <v>42788</v>
      </c>
      <c r="B11" s="16">
        <v>0</v>
      </c>
      <c r="C11" s="17">
        <v>2.5000000000000001E-2</v>
      </c>
      <c r="D11" s="13"/>
      <c r="E11" s="13"/>
      <c r="F11" s="13"/>
      <c r="G11" s="13"/>
      <c r="H11" s="13" t="s">
        <v>15</v>
      </c>
      <c r="I11" s="19">
        <f ca="1">EXP(-N11*O11)</f>
        <v>0.92311634638663576</v>
      </c>
      <c r="J11" s="19">
        <f ca="1">EXP(-N11*P11)</f>
        <v>0.95695395747304668</v>
      </c>
      <c r="K11" s="13"/>
      <c r="L11" s="14"/>
      <c r="N11">
        <v>4</v>
      </c>
      <c r="O11" s="1">
        <v>0.02</v>
      </c>
      <c r="P11" s="1">
        <v>1.0999999999999999E-2</v>
      </c>
    </row>
    <row r="12" spans="1:16">
      <c r="A12" s="15">
        <v>42969</v>
      </c>
      <c r="B12" s="16">
        <v>0</v>
      </c>
      <c r="C12" s="17">
        <v>2.5000000000000001E-2</v>
      </c>
      <c r="D12" s="13"/>
      <c r="E12" s="13"/>
      <c r="F12" s="13"/>
      <c r="G12" s="13"/>
      <c r="H12" s="13" t="s">
        <v>9</v>
      </c>
      <c r="I12" s="19">
        <f ca="1">EXP(-N12*O12)</f>
        <v>0.90483741803595952</v>
      </c>
      <c r="J12" s="19">
        <f ca="1">EXP(-N12*P12)</f>
        <v>0.94176453358424872</v>
      </c>
      <c r="K12" s="13"/>
      <c r="L12" s="14"/>
      <c r="N12">
        <v>5</v>
      </c>
      <c r="O12" s="1">
        <v>0.02</v>
      </c>
      <c r="P12" s="1">
        <v>1.2E-2</v>
      </c>
    </row>
    <row r="13" spans="1:16">
      <c r="A13" s="12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4"/>
      <c r="O13" s="1"/>
    </row>
    <row r="14" spans="1:16">
      <c r="A14" s="12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20"/>
    </row>
    <row r="15" spans="1:16">
      <c r="A15" s="12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20"/>
    </row>
    <row r="16" spans="1:16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20"/>
    </row>
    <row r="17" spans="1:12">
      <c r="A17" s="12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20"/>
    </row>
    <row r="18" spans="1:12">
      <c r="A18" s="12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4"/>
    </row>
    <row r="19" spans="1:12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4"/>
    </row>
    <row r="20" spans="1:12">
      <c r="A20" s="12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4"/>
    </row>
    <row r="21" spans="1:12">
      <c r="A21" s="12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4"/>
    </row>
    <row r="22" spans="1:12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Test</vt:lpstr>
      <vt:lpstr>ZcAndFwd</vt:lpstr>
      <vt:lpstr>ZcAndFwd_ref</vt:lpstr>
      <vt:lpstr>Market</vt:lpstr>
      <vt:lpstr>Market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2015-04-29T20:19:12Z</dcterms:modified>
</cp:coreProperties>
</file>