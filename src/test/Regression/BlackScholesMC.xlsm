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 activeTab="3"/>
  </bookViews>
  <sheets>
    <sheet name="Test" sheetId="2" r:id="rId1"/>
    <sheet name="Fwd" sheetId="6" r:id="rId2"/>
    <sheet name="ImpliedVolNoDiv" sheetId="7" r:id="rId3"/>
    <sheet name="DividendFormula" sheetId="8" r:id="rId4"/>
  </sheets>
  <definedNames>
    <definedName name="FlatMkt">Fwd!$H$22:$S$49</definedName>
    <definedName name="FlatMkt2">DividendFormula!$Q$2:$AF$46</definedName>
    <definedName name="FlatNoDivMkt">ImpliedVolNoDiv!$J$22:$U$49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K4" i="7"/>
  <c r="Q11" i="8"/>
  <c r="J15" i="7" l="1"/>
  <c r="C18"/>
  <c r="B15"/>
  <c r="C10"/>
  <c r="C15"/>
  <c r="C11"/>
  <c r="B16"/>
  <c r="B12"/>
  <c r="J18"/>
  <c r="J16"/>
  <c r="J14"/>
  <c r="J12"/>
  <c r="J10"/>
  <c r="C16"/>
  <c r="C12"/>
  <c r="B17"/>
  <c r="B13"/>
  <c r="C17"/>
  <c r="C13"/>
  <c r="A10" a="1"/>
  <c r="B18"/>
  <c r="B14"/>
  <c r="B10"/>
  <c r="J17"/>
  <c r="J13"/>
  <c r="J11"/>
  <c r="C14"/>
  <c r="F7" a="1"/>
  <c r="B11"/>
  <c r="D7" i="6" a="1"/>
  <c r="H12"/>
  <c r="H17"/>
  <c r="H18"/>
  <c r="H14"/>
  <c r="H10"/>
  <c r="I4" a="1"/>
  <c r="H15"/>
  <c r="H11"/>
  <c r="H16"/>
  <c r="A10" a="1"/>
  <c r="H13"/>
  <c r="Q16" i="8"/>
  <c r="Q14"/>
  <c r="Q12"/>
  <c r="G10" i="7" l="1"/>
  <c r="F8"/>
  <c r="F10"/>
  <c r="F12"/>
  <c r="F14"/>
  <c r="F16"/>
  <c r="F18"/>
  <c r="G7"/>
  <c r="G9"/>
  <c r="G11"/>
  <c r="G13"/>
  <c r="G15"/>
  <c r="G17"/>
  <c r="F7"/>
  <c r="F9"/>
  <c r="F11"/>
  <c r="F13"/>
  <c r="F15"/>
  <c r="F17"/>
  <c r="G8"/>
  <c r="G12"/>
  <c r="G14"/>
  <c r="G16"/>
  <c r="G18"/>
  <c r="L11"/>
  <c r="L13"/>
  <c r="L17"/>
  <c r="A16"/>
  <c r="A11"/>
  <c r="A15"/>
  <c r="A10"/>
  <c r="A14"/>
  <c r="A18"/>
  <c r="A13"/>
  <c r="A17"/>
  <c r="A12"/>
  <c r="L10"/>
  <c r="L12"/>
  <c r="L14"/>
  <c r="L16"/>
  <c r="L18"/>
  <c r="L15"/>
  <c r="J13" i="6"/>
  <c r="A14"/>
  <c r="A13"/>
  <c r="A17"/>
  <c r="A12"/>
  <c r="A16"/>
  <c r="A11"/>
  <c r="A15"/>
  <c r="A10"/>
  <c r="A18"/>
  <c r="J16"/>
  <c r="J11"/>
  <c r="J15"/>
  <c r="I4"/>
  <c r="J10"/>
  <c r="J14"/>
  <c r="J18"/>
  <c r="J17"/>
  <c r="J12"/>
  <c r="D18"/>
  <c r="E9"/>
  <c r="E17"/>
  <c r="B17" s="1"/>
  <c r="D7"/>
  <c r="D9"/>
  <c r="D11"/>
  <c r="D13"/>
  <c r="D15"/>
  <c r="D17"/>
  <c r="E8"/>
  <c r="E10"/>
  <c r="B10" s="1"/>
  <c r="E12"/>
  <c r="B12" s="1"/>
  <c r="E14"/>
  <c r="E16"/>
  <c r="E18"/>
  <c r="B18" s="1"/>
  <c r="D8"/>
  <c r="D10"/>
  <c r="D12"/>
  <c r="D14"/>
  <c r="D16"/>
  <c r="E7"/>
  <c r="E11"/>
  <c r="E13"/>
  <c r="B13" s="1"/>
  <c r="E15"/>
  <c r="B15" s="1"/>
  <c r="Q13" i="8"/>
  <c r="Q17"/>
  <c r="Q15"/>
  <c r="B14" i="6" l="1"/>
  <c r="B11"/>
  <c r="B16"/>
  <c r="Q18" i="8"/>
  <c r="K19"/>
  <c r="K26"/>
  <c r="K11"/>
  <c r="D27"/>
  <c r="K20"/>
  <c r="D24"/>
  <c r="D26"/>
  <c r="K28"/>
  <c r="D18"/>
  <c r="D29"/>
  <c r="D28"/>
  <c r="K14"/>
  <c r="K31"/>
  <c r="D20"/>
  <c r="D21"/>
  <c r="K22"/>
  <c r="K13"/>
  <c r="D14"/>
  <c r="K16"/>
  <c r="D23"/>
  <c r="K24"/>
  <c r="K12"/>
  <c r="K27"/>
  <c r="K18"/>
  <c r="K21"/>
  <c r="K29"/>
  <c r="K15"/>
  <c r="D11"/>
  <c r="D30"/>
  <c r="D17"/>
  <c r="D16"/>
  <c r="L5"/>
  <c r="K25"/>
  <c r="K30"/>
  <c r="K17"/>
  <c r="K23"/>
  <c r="D13"/>
  <c r="D15"/>
  <c r="Q19"/>
  <c r="D19"/>
  <c r="D25"/>
  <c r="D22"/>
  <c r="D12"/>
  <c r="D31"/>
  <c r="M28" l="1"/>
  <c r="M16"/>
  <c r="M15"/>
  <c r="M23"/>
  <c r="M29"/>
  <c r="M17"/>
  <c r="M20"/>
  <c r="M21"/>
  <c r="M31"/>
  <c r="M18"/>
  <c r="M30"/>
  <c r="M13"/>
  <c r="M11"/>
  <c r="M27"/>
  <c r="M25"/>
  <c r="M26"/>
  <c r="M12"/>
  <c r="M14"/>
  <c r="M22"/>
  <c r="M19"/>
  <c r="M24"/>
  <c r="B8" a="1"/>
  <c r="Q20"/>
  <c r="C14" l="1"/>
  <c r="E14" s="1"/>
  <c r="B22"/>
  <c r="C31"/>
  <c r="E31" s="1"/>
  <c r="B25"/>
  <c r="B8"/>
  <c r="C17"/>
  <c r="E17" s="1"/>
  <c r="B29"/>
  <c r="B12"/>
  <c r="C21"/>
  <c r="E21" s="1"/>
  <c r="C10"/>
  <c r="B18"/>
  <c r="C27"/>
  <c r="E27" s="1"/>
  <c r="B31"/>
  <c r="B14"/>
  <c r="C23"/>
  <c r="E23" s="1"/>
  <c r="B17"/>
  <c r="C24"/>
  <c r="E24" s="1"/>
  <c r="C9"/>
  <c r="B21"/>
  <c r="C28"/>
  <c r="E28" s="1"/>
  <c r="C13"/>
  <c r="E13" s="1"/>
  <c r="B27"/>
  <c r="B10"/>
  <c r="C19"/>
  <c r="E19" s="1"/>
  <c r="B23"/>
  <c r="C30"/>
  <c r="E30" s="1"/>
  <c r="C15"/>
  <c r="E15" s="1"/>
  <c r="B9"/>
  <c r="C16"/>
  <c r="E16" s="1"/>
  <c r="B24"/>
  <c r="B13"/>
  <c r="C20"/>
  <c r="E20" s="1"/>
  <c r="B28"/>
  <c r="B11"/>
  <c r="C26"/>
  <c r="E26" s="1"/>
  <c r="C11"/>
  <c r="E11" s="1"/>
  <c r="B15"/>
  <c r="C22"/>
  <c r="E22" s="1"/>
  <c r="B30"/>
  <c r="B19"/>
  <c r="C8"/>
  <c r="B16"/>
  <c r="C25"/>
  <c r="E25" s="1"/>
  <c r="C12"/>
  <c r="E12" s="1"/>
  <c r="B20"/>
  <c r="C29"/>
  <c r="E29" s="1"/>
  <c r="C18"/>
  <c r="E18" s="1"/>
  <c r="B26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</calcChain>
</file>

<file path=xl/sharedStrings.xml><?xml version="1.0" encoding="utf-8"?>
<sst xmlns="http://schemas.openxmlformats.org/spreadsheetml/2006/main" count="293" uniqueCount="89">
  <si>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</si>
  <si>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</si>
  <si>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</si>
  <si>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</si>
  <si>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</si>
  <si>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</si>
  <si>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</si>
  <si>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</si>
  <si>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</si>
  <si>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</si>
  <si>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</si>
  <si>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</si>
  <si>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</si>
  <si>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</si>
  <si>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</si>
  <si>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</si>
  <si>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</si>
  <si>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</si>
  <si>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</si>
  <si>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</si>
  <si>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</si>
  <si>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</si>
  <si>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</si>
  <si>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</si>
  <si>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</si>
  <si>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</si>
  <si>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</si>
  <si>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12m</t>
  </si>
  <si>
    <t>EUR.RiskFree</t>
  </si>
  <si>
    <t>USD.RiskFree</t>
  </si>
  <si>
    <t>Vol.STOXX_5E</t>
  </si>
  <si>
    <t>ProductName</t>
  </si>
  <si>
    <t>CallLeg</t>
  </si>
  <si>
    <t>CallCouponScript</t>
  </si>
  <si>
    <t>CallPayDate</t>
  </si>
  <si>
    <t>Stock</t>
  </si>
  <si>
    <t>FixingDate</t>
  </si>
  <si>
    <t>asset(STOXX_5E,EUR)</t>
  </si>
  <si>
    <t>ModelName</t>
  </si>
  <si>
    <t>BlackScholes</t>
  </si>
  <si>
    <t>CalibDate</t>
  </si>
  <si>
    <t>24m</t>
  </si>
  <si>
    <t>Sigma</t>
  </si>
  <si>
    <t>Algorithm</t>
  </si>
  <si>
    <t>MonteCarlo</t>
  </si>
  <si>
    <t>NbPaths</t>
  </si>
  <si>
    <t>Fwd</t>
  </si>
  <si>
    <t>Time</t>
  </si>
  <si>
    <t>VolImpli</t>
  </si>
  <si>
    <t>MarketId</t>
  </si>
  <si>
    <t>Strike</t>
  </si>
  <si>
    <t xml:space="preserve">Max(0 , Stock@FixingDate - Strike) </t>
  </si>
  <si>
    <t>Stock@FixingDate</t>
  </si>
  <si>
    <t>ERR</t>
  </si>
  <si>
    <t>A10:A18</t>
  </si>
  <si>
    <t>E10:E18</t>
  </si>
  <si>
    <t>FwdLeg</t>
  </si>
  <si>
    <t>FwdCouponScript</t>
  </si>
  <si>
    <t>FwdPayDate</t>
  </si>
  <si>
    <t>ImpliedVolNoDiv</t>
  </si>
  <si>
    <t>Target</t>
  </si>
  <si>
    <t>C10:C18</t>
  </si>
  <si>
    <t>D10:D18</t>
  </si>
  <si>
    <t>2m</t>
  </si>
  <si>
    <t>4m</t>
  </si>
  <si>
    <t>5m</t>
  </si>
  <si>
    <t>7m</t>
  </si>
  <si>
    <t>8m</t>
  </si>
  <si>
    <t>10m</t>
  </si>
  <si>
    <t>11m</t>
  </si>
  <si>
    <t>15m</t>
  </si>
  <si>
    <t>18m</t>
  </si>
  <si>
    <t>21m</t>
  </si>
  <si>
    <t>30m</t>
  </si>
  <si>
    <t>36m</t>
  </si>
  <si>
    <t>42m</t>
  </si>
  <si>
    <t>48m</t>
  </si>
  <si>
    <t>Formula</t>
  </si>
  <si>
    <t>Err</t>
  </si>
  <si>
    <t>Ref Formula</t>
  </si>
  <si>
    <t>DividendFormula</t>
  </si>
  <si>
    <t>D11:D31</t>
  </si>
  <si>
    <t>G11:G31</t>
  </si>
  <si>
    <t>C11:C26</t>
  </si>
  <si>
    <t>D11:D26</t>
  </si>
  <si>
    <t>C26:C31</t>
  </si>
  <si>
    <t>D26:D31</t>
  </si>
  <si>
    <t>FwdPayCurrency</t>
  </si>
  <si>
    <t>CallPayCurrency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</si>
</sst>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0.000"/>
    <numFmt numFmtId="167" formatCode="0.000%"/>
    <numFmt numFmtId="168" formatCode="0.000E+00"/>
    <numFmt numFmtId="169" formatCode="0.00000%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10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0" fillId="0" borderId="9" xfId="0" applyBorder="1"/>
    <xf numFmtId="0" fontId="0" fillId="0" borderId="0" xfId="0" applyBorder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0" fontId="0" fillId="2" borderId="5" xfId="1" applyNumberFormat="1" applyFont="1" applyFill="1" applyBorder="1"/>
    <xf numFmtId="164" fontId="0" fillId="2" borderId="6" xfId="0" applyNumberFormat="1" applyFill="1" applyBorder="1"/>
    <xf numFmtId="10" fontId="0" fillId="2" borderId="8" xfId="1" applyNumberFormat="1" applyFont="1" applyFill="1" applyBorder="1"/>
    <xf numFmtId="10" fontId="0" fillId="2" borderId="3" xfId="1" applyNumberFormat="1" applyFont="1" applyFill="1" applyBorder="1"/>
    <xf numFmtId="0" fontId="3" fillId="2" borderId="0" xfId="3" applyFill="1" applyBorder="1" applyAlignment="1" applyProtection="1"/>
    <xf numFmtId="10" fontId="0" fillId="0" borderId="10" xfId="1" applyNumberFormat="1" applyFont="1" applyBorder="1"/>
    <xf numFmtId="10" fontId="0" fillId="0" borderId="11" xfId="1" applyNumberFormat="1" applyFont="1" applyBorder="1"/>
    <xf numFmtId="11" fontId="0" fillId="0" borderId="0" xfId="1" applyNumberFormat="1" applyFont="1"/>
    <xf numFmtId="10" fontId="0" fillId="0" borderId="4" xfId="1" applyNumberFormat="1" applyFont="1" applyBorder="1"/>
    <xf numFmtId="43" fontId="0" fillId="0" borderId="0" xfId="2" applyNumberFormat="1" applyFont="1" applyBorder="1"/>
    <xf numFmtId="10" fontId="0" fillId="0" borderId="6" xfId="1" applyNumberFormat="1" applyFont="1" applyBorder="1"/>
    <xf numFmtId="10" fontId="0" fillId="0" borderId="0" xfId="1" applyNumberFormat="1" applyFont="1" applyBorder="1"/>
    <xf numFmtId="9" fontId="0" fillId="0" borderId="5" xfId="1" applyNumberFormat="1" applyFont="1" applyBorder="1"/>
    <xf numFmtId="9" fontId="0" fillId="0" borderId="8" xfId="1" applyNumberFormat="1" applyFont="1" applyBorder="1"/>
    <xf numFmtId="0" fontId="2" fillId="0" borderId="1" xfId="0" applyFont="1" applyBorder="1"/>
    <xf numFmtId="11" fontId="2" fillId="0" borderId="3" xfId="0" applyNumberFormat="1" applyFont="1" applyBorder="1"/>
    <xf numFmtId="0" fontId="2" fillId="2" borderId="6" xfId="0" applyFont="1" applyFill="1" applyBorder="1"/>
    <xf numFmtId="167" fontId="0" fillId="2" borderId="0" xfId="1" applyNumberFormat="1" applyFont="1" applyFill="1" applyBorder="1"/>
    <xf numFmtId="167" fontId="0" fillId="2" borderId="7" xfId="1" applyNumberFormat="1" applyFont="1" applyFill="1" applyBorder="1"/>
    <xf numFmtId="0" fontId="2" fillId="2" borderId="3" xfId="0" applyFont="1" applyFill="1" applyBorder="1"/>
    <xf numFmtId="167" fontId="0" fillId="0" borderId="0" xfId="0" applyNumberFormat="1"/>
    <xf numFmtId="166" fontId="0" fillId="2" borderId="0" xfId="0" applyNumberFormat="1" applyFill="1" applyBorder="1"/>
    <xf numFmtId="0" fontId="0" fillId="2" borderId="6" xfId="0" applyFont="1" applyFill="1" applyBorder="1"/>
    <xf numFmtId="9" fontId="0" fillId="2" borderId="8" xfId="0" applyNumberFormat="1" applyFont="1" applyFill="1" applyBorder="1"/>
    <xf numFmtId="167" fontId="0" fillId="2" borderId="5" xfId="2" applyNumberFormat="1" applyFont="1" applyFill="1" applyBorder="1"/>
    <xf numFmtId="167" fontId="0" fillId="2" borderId="8" xfId="2" applyNumberFormat="1" applyFont="1" applyFill="1" applyBorder="1"/>
    <xf numFmtId="0" fontId="2" fillId="0" borderId="9" xfId="0" applyFont="1" applyBorder="1"/>
    <xf numFmtId="168" fontId="0" fillId="0" borderId="0" xfId="0" applyNumberFormat="1"/>
    <xf numFmtId="9" fontId="0" fillId="0" borderId="0" xfId="1" applyFont="1"/>
    <xf numFmtId="164" fontId="0" fillId="2" borderId="1" xfId="0" applyNumberFormat="1" applyFill="1" applyBorder="1"/>
    <xf numFmtId="167" fontId="0" fillId="2" borderId="2" xfId="1" applyNumberFormat="1" applyFont="1" applyFill="1" applyBorder="1"/>
    <xf numFmtId="167" fontId="0" fillId="2" borderId="3" xfId="2" applyNumberFormat="1" applyFont="1" applyFill="1" applyBorder="1"/>
    <xf numFmtId="169" fontId="0" fillId="2" borderId="4" xfId="1" applyNumberFormat="1" applyFont="1" applyFill="1" applyBorder="1"/>
    <xf numFmtId="169" fontId="0" fillId="2" borderId="1" xfId="1" applyNumberFormat="1" applyFont="1" applyFill="1" applyBorder="1"/>
    <xf numFmtId="169" fontId="0" fillId="2" borderId="6" xfId="1" applyNumberFormat="1" applyFont="1" applyFill="1" applyBorder="1"/>
    <xf numFmtId="169" fontId="0" fillId="0" borderId="10" xfId="1" applyNumberFormat="1" applyFont="1" applyBorder="1"/>
    <xf numFmtId="169" fontId="0" fillId="0" borderId="11" xfId="1" applyNumberFormat="1" applyFont="1" applyBorder="1"/>
  </cellXfs>
  <cellStyles count="4">
    <cellStyle name="Lien hypertexte" xfId="3" builtinId="8"/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6"/>
  <sheetViews>
    <sheetView workbookViewId="0"/>
  </sheetViews>
  <sheetFormatPr baseColWidth="10" defaultRowHeight="15"/>
  <cols>
    <col min="1" max="1" width="16.42578125" bestFit="1" customWidth="1"/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16</v>
      </c>
      <c r="B1" t="s">
        <v>18</v>
      </c>
      <c r="C1" t="s">
        <v>17</v>
      </c>
      <c r="D1" t="s">
        <v>19</v>
      </c>
      <c r="E1" t="s">
        <v>20</v>
      </c>
      <c r="F1" t="s">
        <v>21</v>
      </c>
    </row>
    <row r="2" spans="1:6">
      <c r="A2" t="s">
        <v>46</v>
      </c>
      <c r="B2" t="s">
        <v>22</v>
      </c>
      <c r="C2" t="s">
        <v>54</v>
      </c>
      <c r="D2" t="s">
        <v>46</v>
      </c>
      <c r="E2" t="s">
        <v>55</v>
      </c>
      <c r="F2" s="1">
        <v>2.5000000000000001E-5</v>
      </c>
    </row>
    <row r="3" spans="1:6">
      <c r="A3" t="s">
        <v>59</v>
      </c>
      <c r="B3" t="s">
        <v>22</v>
      </c>
      <c r="C3" t="s">
        <v>61</v>
      </c>
      <c r="D3" t="s">
        <v>59</v>
      </c>
      <c r="E3" t="s">
        <v>62</v>
      </c>
      <c r="F3" s="1">
        <v>6.0000000000000002E-5</v>
      </c>
    </row>
    <row r="4" spans="1:6">
      <c r="A4" t="s">
        <v>80</v>
      </c>
      <c r="B4" t="s">
        <v>22</v>
      </c>
      <c r="C4" t="s">
        <v>83</v>
      </c>
      <c r="D4" t="s">
        <v>80</v>
      </c>
      <c r="E4" t="s">
        <v>84</v>
      </c>
      <c r="F4" s="1">
        <v>9.3999999999999994E-5</v>
      </c>
    </row>
    <row r="5" spans="1:6">
      <c r="A5" t="s">
        <v>80</v>
      </c>
      <c r="C5" t="s">
        <v>85</v>
      </c>
      <c r="D5" t="s">
        <v>80</v>
      </c>
      <c r="E5" t="s">
        <v>86</v>
      </c>
      <c r="F5" s="1">
        <v>6.2E-4</v>
      </c>
    </row>
    <row r="6" spans="1:6">
      <c r="A6" t="s">
        <v>80</v>
      </c>
      <c r="C6" t="s">
        <v>81</v>
      </c>
      <c r="D6" t="s">
        <v>80</v>
      </c>
      <c r="E6" t="s">
        <v>82</v>
      </c>
      <c r="F6" s="1">
        <v>1E-8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S49"/>
  <sheetViews>
    <sheetView workbookViewId="0">
      <selection activeCell="I10" sqref="I10"/>
    </sheetView>
  </sheetViews>
  <sheetFormatPr baseColWidth="10" defaultRowHeight="15"/>
  <cols>
    <col min="2" max="2" width="11.42578125" style="1"/>
    <col min="3" max="4" width="13.140625" bestFit="1" customWidth="1"/>
    <col min="8" max="8" width="18.42578125" bestFit="1" customWidth="1"/>
    <col min="9" max="9" width="13.5703125" customWidth="1"/>
    <col min="11" max="11" width="19.85546875" bestFit="1" customWidth="1"/>
    <col min="14" max="14" width="12.140625" bestFit="1" customWidth="1"/>
    <col min="15" max="15" width="12.28515625" bestFit="1" customWidth="1"/>
    <col min="16" max="16" width="12.5703125" bestFit="1" customWidth="1"/>
    <col min="17" max="17" width="12.7109375" bestFit="1" customWidth="1"/>
  </cols>
  <sheetData>
    <row r="1" spans="1:18">
      <c r="I1" s="7"/>
    </row>
    <row r="2" spans="1:18">
      <c r="I2" s="19"/>
    </row>
    <row r="3" spans="1:18">
      <c r="C3" s="20"/>
    </row>
    <row r="4" spans="1:18">
      <c r="H4" s="22" t="s">
        <v>49</v>
      </c>
      <c r="I4" t="e">
        <f t="array" aca="1" ref="I4" ca="1">IF(_xll.SetMarket("mkt",FlatMkt), "mkt", "FAILED")</f>
        <v>#NAME?</v>
      </c>
    </row>
    <row r="6" spans="1:18">
      <c r="H6" s="23" t="s">
        <v>31</v>
      </c>
      <c r="I6" s="4" t="s">
        <v>56</v>
      </c>
      <c r="J6" s="4"/>
      <c r="K6" s="4"/>
      <c r="L6" s="5"/>
      <c r="N6" s="23" t="s">
        <v>38</v>
      </c>
      <c r="O6" s="5" t="s">
        <v>39</v>
      </c>
      <c r="Q6" s="23" t="s">
        <v>43</v>
      </c>
      <c r="R6" s="5" t="s">
        <v>44</v>
      </c>
    </row>
    <row r="7" spans="1:18">
      <c r="D7" s="2" t="e">
        <f t="array" aca="1" ref="D7:E18" ca="1">_xludf.Price("price",H6:L19,$I$4,N6:O18,Q6:R19)</f>
        <v>#NAME?</v>
      </c>
      <c r="E7" s="33" t="e">
        <f ca="1"/>
        <v>#NAME?</v>
      </c>
      <c r="H7" s="6"/>
      <c r="I7" s="7"/>
      <c r="J7" s="7"/>
      <c r="K7" s="7"/>
      <c r="L7" s="8"/>
      <c r="N7" s="24" t="s">
        <v>1</v>
      </c>
      <c r="O7" s="8" t="s">
        <v>2</v>
      </c>
      <c r="Q7" s="6"/>
      <c r="R7" s="8"/>
    </row>
    <row r="8" spans="1:18">
      <c r="D8" s="6" t="e">
        <f ca="1"/>
        <v>#NAME?</v>
      </c>
      <c r="E8" s="8" t="e">
        <f ca="1"/>
        <v>#NAME?</v>
      </c>
      <c r="H8" s="24" t="s">
        <v>57</v>
      </c>
      <c r="I8" s="34" t="s">
        <v>52</v>
      </c>
      <c r="J8" s="7"/>
      <c r="K8" s="7"/>
      <c r="L8" s="8"/>
      <c r="N8" s="6"/>
      <c r="O8" s="8"/>
      <c r="Q8" s="24" t="s">
        <v>45</v>
      </c>
      <c r="R8" s="29">
        <v>100000</v>
      </c>
    </row>
    <row r="9" spans="1:18">
      <c r="A9" s="18" t="s">
        <v>46</v>
      </c>
      <c r="B9" s="1" t="s">
        <v>53</v>
      </c>
      <c r="D9" s="6" t="e">
        <f ca="1"/>
        <v>#NAME?</v>
      </c>
      <c r="E9" s="8" t="e">
        <f ca="1"/>
        <v>#NAME?</v>
      </c>
      <c r="H9" s="24" t="s">
        <v>58</v>
      </c>
      <c r="I9" s="25" t="s">
        <v>87</v>
      </c>
      <c r="J9" s="25" t="s">
        <v>36</v>
      </c>
      <c r="K9" s="25" t="s">
        <v>35</v>
      </c>
      <c r="L9" s="28"/>
      <c r="N9" s="24" t="s">
        <v>40</v>
      </c>
      <c r="O9" s="28" t="s">
        <v>42</v>
      </c>
      <c r="Q9" s="6"/>
      <c r="R9" s="8"/>
    </row>
    <row r="10" spans="1:18">
      <c r="A10" s="35" t="e">
        <f t="array" aca="1" ref="A10:A18" ca="1">_xll.AssetForward($I$4,H10:H18,"STOXX_5E")</f>
        <v>#NAME?</v>
      </c>
      <c r="B10" s="37" t="e">
        <f t="shared" ref="B10:B18" ca="1" si="0">E10-A10</f>
        <v>#NAME?</v>
      </c>
      <c r="C10" s="20"/>
      <c r="D10" s="26" t="e">
        <f ca="1"/>
        <v>#NAME?</v>
      </c>
      <c r="E10" s="30" t="e">
        <f ca="1"/>
        <v>#NAME?</v>
      </c>
      <c r="G10" t="s">
        <v>23</v>
      </c>
      <c r="H10" s="26" t="e">
        <f ca="1">_xll.AddDuration(_xll.MarketRefDate($I$4),G10)</f>
        <v>#NAME?</v>
      </c>
      <c r="I10" s="7" t="s">
        <v>5</v>
      </c>
      <c r="J10" s="27" t="e">
        <f t="shared" ref="J10:J18" ca="1" si="1">H10</f>
        <v>#NAME?</v>
      </c>
      <c r="K10" s="7" t="s">
        <v>37</v>
      </c>
      <c r="L10" s="8"/>
      <c r="N10" s="6" t="s">
        <v>23</v>
      </c>
      <c r="O10" s="12">
        <v>0.15</v>
      </c>
      <c r="Q10" s="6"/>
      <c r="R10" s="8"/>
    </row>
    <row r="11" spans="1:18">
      <c r="A11" s="35" t="e">
        <f ca="1"/>
        <v>#NAME?</v>
      </c>
      <c r="B11" s="37" t="e">
        <f t="shared" ca="1" si="0"/>
        <v>#NAME?</v>
      </c>
      <c r="C11" s="20"/>
      <c r="D11" s="26" t="e">
        <f ca="1"/>
        <v>#NAME?</v>
      </c>
      <c r="E11" s="30" t="e">
        <f ca="1"/>
        <v>#NAME?</v>
      </c>
      <c r="G11" t="s">
        <v>24</v>
      </c>
      <c r="H11" s="26" t="e">
        <f ca="1">_xll.AddDuration(_xll.MarketRefDate($I$4),G11)</f>
        <v>#NAME?</v>
      </c>
      <c r="I11" s="7" t="s">
        <v>5</v>
      </c>
      <c r="J11" s="27" t="e">
        <f t="shared" ca="1" si="1"/>
        <v>#NAME?</v>
      </c>
      <c r="K11" s="7" t="s">
        <v>37</v>
      </c>
      <c r="L11" s="8"/>
      <c r="N11" s="6" t="s">
        <v>24</v>
      </c>
      <c r="O11" s="12">
        <v>0.16</v>
      </c>
      <c r="Q11" s="6"/>
      <c r="R11" s="8"/>
    </row>
    <row r="12" spans="1:18">
      <c r="A12" s="35" t="e">
        <f ca="1"/>
        <v>#NAME?</v>
      </c>
      <c r="B12" s="37" t="e">
        <f t="shared" ca="1" si="0"/>
        <v>#NAME?</v>
      </c>
      <c r="C12" s="20"/>
      <c r="D12" s="26" t="e">
        <f ca="1"/>
        <v>#NAME?</v>
      </c>
      <c r="E12" s="30" t="e">
        <f ca="1"/>
        <v>#NAME?</v>
      </c>
      <c r="G12" t="s">
        <v>25</v>
      </c>
      <c r="H12" s="26" t="e">
        <f ca="1">_xll.AddDuration(_xll.MarketRefDate($I$4),G12)</f>
        <v>#NAME?</v>
      </c>
      <c r="I12" s="7" t="s">
        <v>5</v>
      </c>
      <c r="J12" s="27" t="e">
        <f t="shared" ca="1" si="1"/>
        <v>#NAME?</v>
      </c>
      <c r="K12" s="7" t="s">
        <v>37</v>
      </c>
      <c r="L12" s="8"/>
      <c r="N12" s="6" t="s">
        <v>25</v>
      </c>
      <c r="O12" s="12">
        <v>0.17</v>
      </c>
      <c r="Q12" s="6"/>
      <c r="R12" s="8"/>
    </row>
    <row r="13" spans="1:18">
      <c r="A13" s="35" t="e">
        <f ca="1"/>
        <v>#NAME?</v>
      </c>
      <c r="B13" s="37" t="e">
        <f t="shared" ca="1" si="0"/>
        <v>#NAME?</v>
      </c>
      <c r="C13" s="20"/>
      <c r="D13" s="26" t="e">
        <f ca="1"/>
        <v>#NAME?</v>
      </c>
      <c r="E13" s="30" t="e">
        <f ca="1"/>
        <v>#NAME?</v>
      </c>
      <c r="G13" t="s">
        <v>26</v>
      </c>
      <c r="H13" s="26" t="e">
        <f ca="1">_xll.AddDuration(_xll.MarketRefDate($I$4),G13)</f>
        <v>#NAME?</v>
      </c>
      <c r="I13" s="7" t="s">
        <v>5</v>
      </c>
      <c r="J13" s="27" t="e">
        <f t="shared" ca="1" si="1"/>
        <v>#NAME?</v>
      </c>
      <c r="K13" s="7" t="s">
        <v>37</v>
      </c>
      <c r="L13" s="8"/>
      <c r="N13" s="6" t="s">
        <v>26</v>
      </c>
      <c r="O13" s="12">
        <v>0.18</v>
      </c>
      <c r="Q13" s="6"/>
      <c r="R13" s="8"/>
    </row>
    <row r="14" spans="1:18">
      <c r="A14" s="35" t="e">
        <f ca="1"/>
        <v>#NAME?</v>
      </c>
      <c r="B14" s="37" t="e">
        <f t="shared" ca="1" si="0"/>
        <v>#NAME?</v>
      </c>
      <c r="C14" s="20"/>
      <c r="D14" s="26" t="e">
        <f ca="1"/>
        <v>#NAME?</v>
      </c>
      <c r="E14" s="30" t="e">
        <f ca="1"/>
        <v>#NAME?</v>
      </c>
      <c r="G14" t="s">
        <v>7</v>
      </c>
      <c r="H14" s="26" t="e">
        <f ca="1">_xll.AddDuration(_xll.MarketRefDate($I$4),G14)</f>
        <v>#NAME?</v>
      </c>
      <c r="I14" s="7" t="s">
        <v>5</v>
      </c>
      <c r="J14" s="27" t="e">
        <f t="shared" ca="1" si="1"/>
        <v>#NAME?</v>
      </c>
      <c r="K14" s="7" t="s">
        <v>37</v>
      </c>
      <c r="L14" s="8"/>
      <c r="N14" s="6" t="s">
        <v>27</v>
      </c>
      <c r="O14" s="12">
        <v>0.19</v>
      </c>
      <c r="Q14" s="6"/>
      <c r="R14" s="8"/>
    </row>
    <row r="15" spans="1:18">
      <c r="A15" s="35" t="e">
        <f ca="1"/>
        <v>#NAME?</v>
      </c>
      <c r="B15" s="37" t="e">
        <f t="shared" ca="1" si="0"/>
        <v>#NAME?</v>
      </c>
      <c r="C15" s="20"/>
      <c r="D15" s="26" t="e">
        <f ca="1"/>
        <v>#NAME?</v>
      </c>
      <c r="E15" s="30" t="e">
        <f ca="1"/>
        <v>#NAME?</v>
      </c>
      <c r="G15" t="s">
        <v>8</v>
      </c>
      <c r="H15" s="26" t="e">
        <f ca="1">_xll.AddDuration(_xll.MarketRefDate($I$4),G15)</f>
        <v>#NAME?</v>
      </c>
      <c r="I15" s="7" t="s">
        <v>5</v>
      </c>
      <c r="J15" s="27" t="e">
        <f t="shared" ca="1" si="1"/>
        <v>#NAME?</v>
      </c>
      <c r="K15" s="7" t="s">
        <v>37</v>
      </c>
      <c r="L15" s="8"/>
      <c r="N15" s="6" t="s">
        <v>41</v>
      </c>
      <c r="O15" s="12">
        <v>0.2</v>
      </c>
      <c r="Q15" s="6"/>
      <c r="R15" s="8"/>
    </row>
    <row r="16" spans="1:18">
      <c r="A16" s="35" t="e">
        <f ca="1"/>
        <v>#NAME?</v>
      </c>
      <c r="B16" s="37" t="e">
        <f t="shared" ca="1" si="0"/>
        <v>#NAME?</v>
      </c>
      <c r="C16" s="20"/>
      <c r="D16" s="26" t="e">
        <f ca="1"/>
        <v>#NAME?</v>
      </c>
      <c r="E16" s="30" t="e">
        <f ca="1"/>
        <v>#NAME?</v>
      </c>
      <c r="G16" t="s">
        <v>14</v>
      </c>
      <c r="H16" s="26" t="e">
        <f ca="1">_xll.AddDuration(_xll.MarketRefDate($I$4),G16)</f>
        <v>#NAME?</v>
      </c>
      <c r="I16" s="7" t="s">
        <v>5</v>
      </c>
      <c r="J16" s="27" t="e">
        <f t="shared" ca="1" si="1"/>
        <v>#NAME?</v>
      </c>
      <c r="K16" s="7" t="s">
        <v>37</v>
      </c>
      <c r="L16" s="8"/>
      <c r="N16" s="6"/>
      <c r="O16" s="8"/>
      <c r="Q16" s="6"/>
      <c r="R16" s="8"/>
    </row>
    <row r="17" spans="1:19">
      <c r="A17" s="35" t="e">
        <f ca="1"/>
        <v>#NAME?</v>
      </c>
      <c r="B17" s="37" t="e">
        <f t="shared" ca="1" si="0"/>
        <v>#NAME?</v>
      </c>
      <c r="C17" s="20"/>
      <c r="D17" s="26" t="e">
        <f ca="1"/>
        <v>#NAME?</v>
      </c>
      <c r="E17" s="30" t="e">
        <f ca="1"/>
        <v>#NAME?</v>
      </c>
      <c r="G17" t="s">
        <v>15</v>
      </c>
      <c r="H17" s="26" t="e">
        <f ca="1">_xll.AddDuration(_xll.MarketRefDate($I$4),G17)</f>
        <v>#NAME?</v>
      </c>
      <c r="I17" s="7" t="s">
        <v>5</v>
      </c>
      <c r="J17" s="27" t="e">
        <f t="shared" ca="1" si="1"/>
        <v>#NAME?</v>
      </c>
      <c r="K17" s="7" t="s">
        <v>37</v>
      </c>
      <c r="L17" s="8"/>
      <c r="N17" s="6"/>
      <c r="O17" s="8"/>
      <c r="Q17" s="6"/>
      <c r="R17" s="8"/>
    </row>
    <row r="18" spans="1:19">
      <c r="A18" s="36" t="e">
        <f ca="1"/>
        <v>#NAME?</v>
      </c>
      <c r="B18" s="37" t="e">
        <f t="shared" ca="1" si="0"/>
        <v>#NAME?</v>
      </c>
      <c r="C18" s="20"/>
      <c r="D18" s="31" t="e">
        <f ca="1"/>
        <v>#NAME?</v>
      </c>
      <c r="E18" s="32" t="e">
        <f ca="1"/>
        <v>#NAME?</v>
      </c>
      <c r="G18" t="s">
        <v>9</v>
      </c>
      <c r="H18" s="26" t="e">
        <f ca="1">_xll.AddDuration(_xll.MarketRefDate($I$4),G18)</f>
        <v>#NAME?</v>
      </c>
      <c r="I18" s="7" t="s">
        <v>5</v>
      </c>
      <c r="J18" s="27" t="e">
        <f t="shared" ca="1" si="1"/>
        <v>#NAME?</v>
      </c>
      <c r="K18" s="7" t="s">
        <v>37</v>
      </c>
      <c r="L18" s="8"/>
      <c r="N18" s="6"/>
      <c r="O18" s="8"/>
      <c r="Q18" s="6"/>
      <c r="R18" s="8"/>
    </row>
    <row r="19" spans="1:19">
      <c r="C19" s="20"/>
      <c r="H19" s="13"/>
      <c r="I19" s="14"/>
      <c r="J19" s="14"/>
      <c r="K19" s="14"/>
      <c r="L19" s="15"/>
      <c r="N19" s="13"/>
      <c r="O19" s="15"/>
      <c r="Q19" s="13"/>
      <c r="R19" s="15"/>
    </row>
    <row r="22" spans="1:19">
      <c r="H22" s="2" t="s">
        <v>0</v>
      </c>
      <c r="I22" s="3">
        <v>42057</v>
      </c>
      <c r="J22" s="4"/>
      <c r="K22" s="4"/>
      <c r="L22" s="4"/>
      <c r="M22" s="4"/>
      <c r="N22" s="4"/>
      <c r="O22" s="4"/>
      <c r="P22" s="4"/>
      <c r="Q22" s="4"/>
      <c r="R22" s="4"/>
      <c r="S22" s="5"/>
    </row>
    <row r="23" spans="1:19">
      <c r="H23" s="6"/>
      <c r="I23" s="16"/>
      <c r="J23" s="7"/>
      <c r="K23" s="7"/>
      <c r="L23" s="7"/>
      <c r="M23" s="7"/>
      <c r="N23" s="7"/>
      <c r="O23" s="7"/>
      <c r="P23" s="7"/>
      <c r="Q23" s="7"/>
      <c r="R23" s="7"/>
      <c r="S23" s="8"/>
    </row>
    <row r="24" spans="1:19">
      <c r="H24" s="6"/>
      <c r="I24" s="16"/>
      <c r="J24" s="7"/>
      <c r="K24" s="7"/>
      <c r="L24" s="7"/>
      <c r="M24" s="7"/>
      <c r="N24" s="7"/>
      <c r="O24" s="7"/>
      <c r="P24" s="7"/>
      <c r="Q24" s="7"/>
      <c r="R24" s="7"/>
      <c r="S24" s="8"/>
    </row>
    <row r="25" spans="1:19">
      <c r="H25" s="6"/>
      <c r="I25" s="7"/>
      <c r="J25" s="7"/>
      <c r="K25" s="7"/>
      <c r="L25" s="7"/>
      <c r="M25" s="7"/>
      <c r="N25" s="7"/>
      <c r="O25" s="7"/>
      <c r="P25" s="7"/>
      <c r="Q25" s="7"/>
      <c r="R25" s="7"/>
      <c r="S25" s="8"/>
    </row>
    <row r="26" spans="1:19">
      <c r="H26" s="6" t="s">
        <v>1</v>
      </c>
      <c r="I26" s="7" t="s">
        <v>3</v>
      </c>
      <c r="J26" s="7" t="s">
        <v>4</v>
      </c>
      <c r="K26" s="7"/>
      <c r="L26" s="7"/>
      <c r="M26" s="7"/>
      <c r="N26" s="7"/>
      <c r="O26" s="7"/>
      <c r="P26" s="7"/>
      <c r="Q26" s="7"/>
      <c r="R26" s="7"/>
      <c r="S26" s="8"/>
    </row>
    <row r="27" spans="1:19">
      <c r="H27" s="6" t="s">
        <v>2</v>
      </c>
      <c r="I27" s="7">
        <v>1</v>
      </c>
      <c r="J27" s="7" t="s">
        <v>5</v>
      </c>
      <c r="K27" s="7"/>
      <c r="L27" s="7"/>
      <c r="M27" s="7"/>
      <c r="N27" s="7"/>
      <c r="O27" s="7"/>
      <c r="P27" s="7"/>
      <c r="Q27" s="7"/>
      <c r="R27" s="7"/>
      <c r="S27" s="8"/>
    </row>
    <row r="28" spans="1:19">
      <c r="H28" s="6"/>
      <c r="I28" s="7"/>
      <c r="J28" s="7"/>
      <c r="K28" s="7"/>
      <c r="L28" s="7"/>
      <c r="M28" s="7"/>
      <c r="N28" s="7"/>
      <c r="O28" s="7"/>
      <c r="P28" s="7"/>
      <c r="Q28" s="7"/>
      <c r="R28" s="7"/>
      <c r="S28" s="8"/>
    </row>
    <row r="29" spans="1:19">
      <c r="H29" s="6"/>
      <c r="I29" s="7"/>
      <c r="J29" s="7"/>
      <c r="K29" s="7"/>
      <c r="L29" s="7"/>
      <c r="M29" s="7"/>
      <c r="N29" s="7"/>
      <c r="O29" s="7"/>
      <c r="P29" s="7"/>
      <c r="Q29" s="7"/>
      <c r="R29" s="7"/>
      <c r="S29" s="8"/>
    </row>
    <row r="30" spans="1:19">
      <c r="H30" s="6" t="s">
        <v>10</v>
      </c>
      <c r="I30" s="7" t="s">
        <v>11</v>
      </c>
      <c r="J30" s="7" t="s">
        <v>12</v>
      </c>
      <c r="K30" s="7"/>
      <c r="L30" s="7" t="s">
        <v>6</v>
      </c>
      <c r="M30" s="7" t="s">
        <v>2</v>
      </c>
      <c r="N30" s="7"/>
      <c r="O30" s="7" t="s">
        <v>13</v>
      </c>
      <c r="P30" s="7" t="s">
        <v>28</v>
      </c>
      <c r="Q30" s="7" t="s">
        <v>29</v>
      </c>
      <c r="R30" s="7"/>
      <c r="S30" s="8"/>
    </row>
    <row r="31" spans="1:19">
      <c r="H31" s="9">
        <v>42238</v>
      </c>
      <c r="I31" s="11">
        <v>0.03</v>
      </c>
      <c r="J31" s="11">
        <v>0</v>
      </c>
      <c r="K31" s="7"/>
      <c r="L31" s="7" t="s">
        <v>7</v>
      </c>
      <c r="M31" s="10">
        <v>0</v>
      </c>
      <c r="N31" s="7"/>
      <c r="O31" s="7" t="s">
        <v>7</v>
      </c>
      <c r="P31" s="11">
        <v>1</v>
      </c>
      <c r="Q31" s="11">
        <v>1</v>
      </c>
      <c r="R31" s="7"/>
      <c r="S31" s="8"/>
    </row>
    <row r="32" spans="1:19">
      <c r="H32" s="9">
        <v>42422</v>
      </c>
      <c r="I32" s="11">
        <v>0.03</v>
      </c>
      <c r="J32" s="11">
        <v>0</v>
      </c>
      <c r="K32" s="7"/>
      <c r="L32" s="7" t="s">
        <v>8</v>
      </c>
      <c r="M32" s="10">
        <v>0</v>
      </c>
      <c r="N32" s="7"/>
      <c r="O32" s="7" t="s">
        <v>8</v>
      </c>
      <c r="P32" s="11">
        <v>1</v>
      </c>
      <c r="Q32" s="11">
        <v>1</v>
      </c>
      <c r="R32" s="7"/>
      <c r="S32" s="8"/>
    </row>
    <row r="33" spans="8:19">
      <c r="H33" s="9">
        <v>42604</v>
      </c>
      <c r="I33" s="11">
        <v>0.02</v>
      </c>
      <c r="J33" s="11">
        <v>0.01</v>
      </c>
      <c r="K33" s="7"/>
      <c r="L33" s="7" t="s">
        <v>9</v>
      </c>
      <c r="M33" s="10">
        <v>0</v>
      </c>
      <c r="N33" s="7"/>
      <c r="O33" s="7" t="s">
        <v>14</v>
      </c>
      <c r="P33" s="11">
        <v>1</v>
      </c>
      <c r="Q33" s="11">
        <v>1</v>
      </c>
      <c r="R33" s="7"/>
      <c r="S33" s="8"/>
    </row>
    <row r="34" spans="8:19">
      <c r="H34" s="9">
        <v>42788</v>
      </c>
      <c r="I34" s="11">
        <v>0.01</v>
      </c>
      <c r="J34" s="11">
        <v>0.02</v>
      </c>
      <c r="K34" s="7"/>
      <c r="L34" s="7"/>
      <c r="M34" s="7"/>
      <c r="N34" s="7"/>
      <c r="O34" s="7" t="s">
        <v>15</v>
      </c>
      <c r="P34" s="11">
        <v>1</v>
      </c>
      <c r="Q34" s="11">
        <v>1</v>
      </c>
      <c r="R34" s="7"/>
      <c r="S34" s="8"/>
    </row>
    <row r="35" spans="8:19">
      <c r="H35" s="9">
        <v>42969</v>
      </c>
      <c r="I35" s="11">
        <v>0</v>
      </c>
      <c r="J35" s="11">
        <v>0.03</v>
      </c>
      <c r="K35" s="7"/>
      <c r="L35" s="7"/>
      <c r="M35" s="7"/>
      <c r="N35" s="7"/>
      <c r="O35" s="7" t="s">
        <v>9</v>
      </c>
      <c r="P35" s="11">
        <v>1</v>
      </c>
      <c r="Q35" s="11">
        <v>1</v>
      </c>
      <c r="R35" s="7"/>
      <c r="S35" s="8"/>
    </row>
    <row r="36" spans="8:19">
      <c r="H36" s="9">
        <v>43153</v>
      </c>
      <c r="I36" s="11">
        <v>0</v>
      </c>
      <c r="J36" s="11">
        <v>0.03</v>
      </c>
      <c r="K36" s="7"/>
      <c r="L36" s="7"/>
      <c r="M36" s="7"/>
      <c r="N36" s="7"/>
      <c r="O36" s="7"/>
      <c r="P36" s="11"/>
      <c r="Q36" s="11"/>
      <c r="R36" s="7"/>
      <c r="S36" s="8"/>
    </row>
    <row r="37" spans="8:19">
      <c r="H37" s="9">
        <v>43334</v>
      </c>
      <c r="I37" s="11">
        <v>0</v>
      </c>
      <c r="J37" s="11">
        <v>0.03</v>
      </c>
      <c r="K37" s="7"/>
      <c r="L37" s="7"/>
      <c r="M37" s="7"/>
      <c r="N37" s="7"/>
      <c r="O37" s="7"/>
      <c r="P37" s="11"/>
      <c r="Q37" s="11"/>
      <c r="R37" s="7"/>
      <c r="S37" s="8"/>
    </row>
    <row r="38" spans="8:19">
      <c r="H38" s="9">
        <v>43518</v>
      </c>
      <c r="I38" s="11">
        <v>0</v>
      </c>
      <c r="J38" s="11">
        <v>0.03</v>
      </c>
      <c r="K38" s="7"/>
      <c r="L38" s="7"/>
      <c r="M38" s="7"/>
      <c r="N38" s="7"/>
      <c r="O38" s="7"/>
      <c r="P38" s="11"/>
      <c r="Q38" s="11"/>
      <c r="R38" s="7"/>
      <c r="S38" s="8"/>
    </row>
    <row r="39" spans="8:19">
      <c r="H39" s="9">
        <v>43699</v>
      </c>
      <c r="I39" s="11">
        <v>0</v>
      </c>
      <c r="J39" s="11">
        <v>0.03</v>
      </c>
      <c r="K39" s="7"/>
      <c r="L39" s="7"/>
      <c r="M39" s="7"/>
      <c r="N39" s="7"/>
      <c r="O39" s="7"/>
      <c r="P39" s="11"/>
      <c r="Q39" s="11"/>
      <c r="R39" s="7"/>
      <c r="S39" s="8"/>
    </row>
    <row r="40" spans="8:19">
      <c r="H40" s="6"/>
      <c r="I40" s="7"/>
      <c r="J40" s="7"/>
      <c r="K40" s="7"/>
      <c r="L40" s="7"/>
      <c r="M40" s="7"/>
      <c r="N40" s="7"/>
      <c r="O40" s="7"/>
      <c r="P40" s="7"/>
      <c r="Q40" s="7"/>
      <c r="R40" s="7"/>
      <c r="S40" s="8"/>
    </row>
    <row r="41" spans="8:19">
      <c r="H41" s="6"/>
      <c r="I41" s="7"/>
      <c r="J41" s="7"/>
      <c r="K41" s="7"/>
      <c r="L41" s="7"/>
      <c r="M41" s="7"/>
      <c r="N41" s="7"/>
      <c r="O41" s="7"/>
      <c r="P41" s="7"/>
      <c r="Q41" s="7"/>
      <c r="R41" s="7"/>
      <c r="S41" s="12"/>
    </row>
    <row r="42" spans="8:19">
      <c r="H42" s="6" t="s">
        <v>30</v>
      </c>
      <c r="I42" s="7">
        <v>2122.857308994217</v>
      </c>
      <c r="J42" s="7">
        <v>2592.8637723860124</v>
      </c>
      <c r="K42" s="7">
        <v>3166.9309631258584</v>
      </c>
      <c r="L42" s="7">
        <v>3500</v>
      </c>
      <c r="M42" s="7">
        <v>3868.0982132647669</v>
      </c>
      <c r="N42" s="7">
        <v>4724.5058265160114</v>
      </c>
      <c r="O42" s="7">
        <v>5770.5244474504489</v>
      </c>
      <c r="P42" s="7"/>
      <c r="Q42" s="7"/>
      <c r="R42" s="7"/>
      <c r="S42" s="12"/>
    </row>
    <row r="43" spans="8:19">
      <c r="H43" s="9">
        <v>42085</v>
      </c>
      <c r="I43" s="17">
        <v>0.23</v>
      </c>
      <c r="J43" s="17">
        <v>0.23</v>
      </c>
      <c r="K43" s="17">
        <v>0.25</v>
      </c>
      <c r="L43" s="17">
        <v>0.23</v>
      </c>
      <c r="M43" s="17">
        <v>0.23</v>
      </c>
      <c r="N43" s="17">
        <v>0.23</v>
      </c>
      <c r="O43" s="17">
        <v>0.23</v>
      </c>
      <c r="P43" s="7"/>
      <c r="Q43" s="7"/>
      <c r="R43" s="7"/>
      <c r="S43" s="12"/>
    </row>
    <row r="44" spans="8:19">
      <c r="H44" s="9">
        <v>42146</v>
      </c>
      <c r="I44" s="17">
        <v>0.23</v>
      </c>
      <c r="J44" s="17">
        <v>0.23</v>
      </c>
      <c r="K44" s="17">
        <v>0.23</v>
      </c>
      <c r="L44" s="17">
        <v>0.23</v>
      </c>
      <c r="M44" s="17">
        <v>0.23</v>
      </c>
      <c r="N44" s="17">
        <v>0.23</v>
      </c>
      <c r="O44" s="17">
        <v>0.23</v>
      </c>
      <c r="P44" s="7"/>
      <c r="Q44" s="7"/>
      <c r="R44" s="7"/>
      <c r="S44" s="12"/>
    </row>
    <row r="45" spans="8:19">
      <c r="H45" s="9">
        <v>42238</v>
      </c>
      <c r="I45" s="17">
        <v>0.23</v>
      </c>
      <c r="J45" s="17">
        <v>0.23</v>
      </c>
      <c r="K45" s="17">
        <v>0.23</v>
      </c>
      <c r="L45" s="17">
        <v>0.23</v>
      </c>
      <c r="M45" s="17">
        <v>0.23</v>
      </c>
      <c r="N45" s="17">
        <v>0.23</v>
      </c>
      <c r="O45" s="17">
        <v>0.23</v>
      </c>
      <c r="P45" s="7"/>
      <c r="Q45" s="7"/>
      <c r="R45" s="7"/>
      <c r="S45" s="8"/>
    </row>
    <row r="46" spans="8:19">
      <c r="H46" s="9">
        <v>42360</v>
      </c>
      <c r="I46" s="17">
        <v>0.23</v>
      </c>
      <c r="J46" s="17">
        <v>0.23</v>
      </c>
      <c r="K46" s="17">
        <v>0.23</v>
      </c>
      <c r="L46" s="17">
        <v>0.23</v>
      </c>
      <c r="M46" s="17">
        <v>0.23</v>
      </c>
      <c r="N46" s="17">
        <v>0.23</v>
      </c>
      <c r="O46" s="17">
        <v>0.23</v>
      </c>
      <c r="P46" s="7"/>
      <c r="Q46" s="7"/>
      <c r="R46" s="7"/>
      <c r="S46" s="8"/>
    </row>
    <row r="47" spans="8:19">
      <c r="H47" s="9">
        <v>42422</v>
      </c>
      <c r="I47" s="17">
        <v>0.23</v>
      </c>
      <c r="J47" s="17">
        <v>0.23</v>
      </c>
      <c r="K47" s="17">
        <v>0.23</v>
      </c>
      <c r="L47" s="17">
        <v>0.23</v>
      </c>
      <c r="M47" s="17">
        <v>0.23</v>
      </c>
      <c r="N47" s="17">
        <v>0.23</v>
      </c>
      <c r="O47" s="17">
        <v>0.23</v>
      </c>
      <c r="P47" s="7"/>
      <c r="Q47" s="7"/>
      <c r="R47" s="7"/>
      <c r="S47" s="8"/>
    </row>
    <row r="48" spans="8:19">
      <c r="H48" s="9">
        <v>42816</v>
      </c>
      <c r="I48" s="17">
        <v>0.23</v>
      </c>
      <c r="J48" s="17">
        <v>0.23</v>
      </c>
      <c r="K48" s="17">
        <v>0.23</v>
      </c>
      <c r="L48" s="17">
        <v>0.23</v>
      </c>
      <c r="M48" s="17">
        <v>0.23</v>
      </c>
      <c r="N48" s="17">
        <v>0.23</v>
      </c>
      <c r="O48" s="17">
        <v>0.23</v>
      </c>
      <c r="P48" s="7"/>
      <c r="Q48" s="7"/>
      <c r="R48" s="7"/>
      <c r="S48" s="8"/>
    </row>
    <row r="49" spans="8:19"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</row>
  </sheetData>
  <hyperlinks>
    <hyperlink ref="I8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U49"/>
  <sheetViews>
    <sheetView workbookViewId="0">
      <selection activeCell="K10" sqref="K10"/>
    </sheetView>
  </sheetViews>
  <sheetFormatPr baseColWidth="10" defaultRowHeight="15"/>
  <cols>
    <col min="4" max="4" width="16.28515625" style="1" bestFit="1" customWidth="1"/>
    <col min="5" max="6" width="13.140625" bestFit="1" customWidth="1"/>
    <col min="10" max="10" width="18.42578125" bestFit="1" customWidth="1"/>
    <col min="11" max="11" width="13.5703125" customWidth="1"/>
    <col min="13" max="13" width="19.85546875" bestFit="1" customWidth="1"/>
    <col min="16" max="16" width="12.140625" bestFit="1" customWidth="1"/>
    <col min="17" max="17" width="12.28515625" bestFit="1" customWidth="1"/>
    <col min="18" max="18" width="12.5703125" bestFit="1" customWidth="1"/>
    <col min="19" max="19" width="12.7109375" bestFit="1" customWidth="1"/>
  </cols>
  <sheetData>
    <row r="1" spans="1:20">
      <c r="K1" s="7"/>
    </row>
    <row r="2" spans="1:20">
      <c r="K2" s="19"/>
    </row>
    <row r="3" spans="1:20">
      <c r="E3" s="20"/>
    </row>
    <row r="4" spans="1:20">
      <c r="J4" s="22" t="s">
        <v>49</v>
      </c>
      <c r="K4" t="str">
        <f ca="1">IF(_xll.SetMarket("mktNoDiv",FlatNoDivMkt), "mktNoDiv", "FAILED")</f>
        <v>mktNoDiv</v>
      </c>
    </row>
    <row r="6" spans="1:20">
      <c r="J6" s="23" t="s">
        <v>31</v>
      </c>
      <c r="K6" s="4" t="s">
        <v>32</v>
      </c>
      <c r="L6" s="4"/>
      <c r="M6" s="4"/>
      <c r="N6" s="5"/>
      <c r="P6" s="23" t="s">
        <v>38</v>
      </c>
      <c r="Q6" s="5" t="s">
        <v>39</v>
      </c>
      <c r="S6" s="23" t="s">
        <v>43</v>
      </c>
      <c r="T6" s="5" t="s">
        <v>44</v>
      </c>
    </row>
    <row r="7" spans="1:20">
      <c r="F7" s="2" t="e">
        <f t="array" aca="1" ref="F7:G18" ca="1">_xludf.Price("price",J6:N19,$K$4,P6:Q18,S6:T19)</f>
        <v>#NAME?</v>
      </c>
      <c r="G7" s="33" t="e">
        <f ca="1"/>
        <v>#NAME?</v>
      </c>
      <c r="J7" s="6"/>
      <c r="K7" s="7"/>
      <c r="L7" s="7"/>
      <c r="M7" s="7"/>
      <c r="N7" s="8"/>
      <c r="P7" s="24" t="s">
        <v>1</v>
      </c>
      <c r="Q7" s="8" t="s">
        <v>2</v>
      </c>
      <c r="S7" s="6"/>
      <c r="T7" s="8"/>
    </row>
    <row r="8" spans="1:20">
      <c r="F8" s="6" t="e">
        <f ca="1"/>
        <v>#NAME?</v>
      </c>
      <c r="G8" s="8" t="e">
        <f ca="1"/>
        <v>#NAME?</v>
      </c>
      <c r="J8" s="24" t="s">
        <v>33</v>
      </c>
      <c r="K8" s="7" t="s">
        <v>51</v>
      </c>
      <c r="L8" s="7"/>
      <c r="M8" s="7"/>
      <c r="N8" s="8"/>
      <c r="P8" s="6"/>
      <c r="Q8" s="8"/>
      <c r="S8" s="24" t="s">
        <v>45</v>
      </c>
      <c r="T8" s="29">
        <v>100000</v>
      </c>
    </row>
    <row r="9" spans="1:20">
      <c r="A9" s="19" t="s">
        <v>46</v>
      </c>
      <c r="B9" s="19" t="s">
        <v>47</v>
      </c>
      <c r="C9" s="44" t="s">
        <v>48</v>
      </c>
      <c r="D9" s="45" t="s">
        <v>60</v>
      </c>
      <c r="F9" s="6" t="e">
        <f ca="1"/>
        <v>#NAME?</v>
      </c>
      <c r="G9" s="8" t="e">
        <f ca="1"/>
        <v>#NAME?</v>
      </c>
      <c r="J9" s="24" t="s">
        <v>34</v>
      </c>
      <c r="K9" s="25" t="s">
        <v>88</v>
      </c>
      <c r="L9" s="25" t="s">
        <v>36</v>
      </c>
      <c r="M9" s="25" t="s">
        <v>35</v>
      </c>
      <c r="N9" s="28" t="s">
        <v>50</v>
      </c>
      <c r="P9" s="24" t="s">
        <v>40</v>
      </c>
      <c r="Q9" s="28" t="s">
        <v>42</v>
      </c>
      <c r="S9" s="6"/>
      <c r="T9" s="8"/>
    </row>
    <row r="10" spans="1:20">
      <c r="A10" s="41" t="e">
        <f t="array" aca="1" ref="A10:A18" ca="1">_xll.AssetForward($K$4,J10:J18,"STOXX_5E")</f>
        <v>#NAME?</v>
      </c>
      <c r="B10" s="39" t="e">
        <f ca="1">_xll.DayCount($K$22,F10,"act/365")</f>
        <v>#NAME?</v>
      </c>
      <c r="C10" s="38" t="e">
        <f ca="1">_xll.BlackImpliedVol(A10,N10,B10,G10,"Call")</f>
        <v>#NAME?</v>
      </c>
      <c r="D10" s="42">
        <v>0.2</v>
      </c>
      <c r="E10" s="20"/>
      <c r="F10" s="26" t="e">
        <f ca="1"/>
        <v>#NAME?</v>
      </c>
      <c r="G10" s="30" t="e">
        <f ca="1"/>
        <v>#NAME?</v>
      </c>
      <c r="I10" t="s">
        <v>23</v>
      </c>
      <c r="J10" s="26" t="e">
        <f ca="1">_xll.AddDuration(_xll.MarketRefDate($K$4),I10)</f>
        <v>#NAME?</v>
      </c>
      <c r="K10" s="7" t="s">
        <v>5</v>
      </c>
      <c r="L10" s="27" t="e">
        <f t="shared" ref="L10:L18" ca="1" si="0">J10</f>
        <v>#NAME?</v>
      </c>
      <c r="M10" s="7" t="s">
        <v>37</v>
      </c>
      <c r="N10" s="8">
        <v>1</v>
      </c>
      <c r="P10" s="6" t="s">
        <v>23</v>
      </c>
      <c r="Q10" s="12">
        <v>0.2</v>
      </c>
      <c r="S10" s="6"/>
      <c r="T10" s="8"/>
    </row>
    <row r="11" spans="1:20">
      <c r="A11" s="41" t="e">
        <f ca="1"/>
        <v>#NAME?</v>
      </c>
      <c r="B11" s="39" t="e">
        <f ca="1">_xll.DayCount($K$22,F11,"act/365")</f>
        <v>#NAME?</v>
      </c>
      <c r="C11" s="38" t="e">
        <f ca="1">_xll.BlackImpliedVol(A11,N11,B11,G11,"Call")</f>
        <v>#NAME?</v>
      </c>
      <c r="D11" s="42">
        <v>0.2</v>
      </c>
      <c r="E11" s="20"/>
      <c r="F11" s="26" t="e">
        <f ca="1"/>
        <v>#NAME?</v>
      </c>
      <c r="G11" s="30" t="e">
        <f ca="1"/>
        <v>#NAME?</v>
      </c>
      <c r="I11" t="s">
        <v>24</v>
      </c>
      <c r="J11" s="26" t="e">
        <f ca="1">_xll.AddDuration(_xll.MarketRefDate($K$4),I11)</f>
        <v>#NAME?</v>
      </c>
      <c r="K11" s="7" t="s">
        <v>5</v>
      </c>
      <c r="L11" s="27" t="e">
        <f t="shared" ca="1" si="0"/>
        <v>#NAME?</v>
      </c>
      <c r="M11" s="7" t="s">
        <v>37</v>
      </c>
      <c r="N11" s="8">
        <v>1</v>
      </c>
      <c r="P11" s="6" t="s">
        <v>24</v>
      </c>
      <c r="Q11" s="12">
        <v>0.2</v>
      </c>
      <c r="S11" s="6"/>
      <c r="T11" s="8"/>
    </row>
    <row r="12" spans="1:20">
      <c r="A12" s="41" t="e">
        <f ca="1"/>
        <v>#NAME?</v>
      </c>
      <c r="B12" s="39" t="e">
        <f ca="1">_xll.DayCount($K$22,F12,"act/365")</f>
        <v>#NAME?</v>
      </c>
      <c r="C12" s="38" t="e">
        <f ca="1">_xll.BlackImpliedVol(A12,N12,B12,G12,"Call")</f>
        <v>#NAME?</v>
      </c>
      <c r="D12" s="42">
        <v>0.2</v>
      </c>
      <c r="E12" s="20"/>
      <c r="F12" s="26" t="e">
        <f ca="1"/>
        <v>#NAME?</v>
      </c>
      <c r="G12" s="30" t="e">
        <f ca="1"/>
        <v>#NAME?</v>
      </c>
      <c r="I12" t="s">
        <v>25</v>
      </c>
      <c r="J12" s="26" t="e">
        <f ca="1">_xll.AddDuration(_xll.MarketRefDate($K$4),I12)</f>
        <v>#NAME?</v>
      </c>
      <c r="K12" s="7" t="s">
        <v>5</v>
      </c>
      <c r="L12" s="27" t="e">
        <f t="shared" ca="1" si="0"/>
        <v>#NAME?</v>
      </c>
      <c r="M12" s="7" t="s">
        <v>37</v>
      </c>
      <c r="N12" s="8">
        <v>1</v>
      </c>
      <c r="P12" s="6" t="s">
        <v>25</v>
      </c>
      <c r="Q12" s="12">
        <v>0.2</v>
      </c>
      <c r="S12" s="6"/>
      <c r="T12" s="8"/>
    </row>
    <row r="13" spans="1:20">
      <c r="A13" s="41" t="e">
        <f ca="1"/>
        <v>#NAME?</v>
      </c>
      <c r="B13" s="39" t="e">
        <f ca="1">_xll.DayCount($K$22,F13,"act/365")</f>
        <v>#NAME?</v>
      </c>
      <c r="C13" s="38" t="e">
        <f ca="1">_xll.BlackImpliedVol(A13,N13,B13,G13,"Call")</f>
        <v>#NAME?</v>
      </c>
      <c r="D13" s="42">
        <v>0.2</v>
      </c>
      <c r="E13" s="20"/>
      <c r="F13" s="26" t="e">
        <f ca="1"/>
        <v>#NAME?</v>
      </c>
      <c r="G13" s="30" t="e">
        <f ca="1"/>
        <v>#NAME?</v>
      </c>
      <c r="I13" t="s">
        <v>26</v>
      </c>
      <c r="J13" s="26" t="e">
        <f ca="1">_xll.AddDuration(_xll.MarketRefDate($K$4),I13)</f>
        <v>#NAME?</v>
      </c>
      <c r="K13" s="7" t="s">
        <v>5</v>
      </c>
      <c r="L13" s="27" t="e">
        <f t="shared" ca="1" si="0"/>
        <v>#NAME?</v>
      </c>
      <c r="M13" s="7" t="s">
        <v>37</v>
      </c>
      <c r="N13" s="8">
        <v>1</v>
      </c>
      <c r="P13" s="6" t="s">
        <v>26</v>
      </c>
      <c r="Q13" s="12">
        <v>0.2</v>
      </c>
      <c r="S13" s="6"/>
      <c r="T13" s="8"/>
    </row>
    <row r="14" spans="1:20">
      <c r="A14" s="41" t="e">
        <f ca="1"/>
        <v>#NAME?</v>
      </c>
      <c r="B14" s="39" t="e">
        <f ca="1">_xll.DayCount($K$22,F14,"act/365")</f>
        <v>#NAME?</v>
      </c>
      <c r="C14" s="38" t="e">
        <f ca="1">_xll.BlackImpliedVol(A14,N14,B14,G14,"Call")</f>
        <v>#NAME?</v>
      </c>
      <c r="D14" s="42">
        <v>0.2</v>
      </c>
      <c r="E14" s="20"/>
      <c r="F14" s="26" t="e">
        <f ca="1"/>
        <v>#NAME?</v>
      </c>
      <c r="G14" s="30" t="e">
        <f ca="1"/>
        <v>#NAME?</v>
      </c>
      <c r="I14" t="s">
        <v>7</v>
      </c>
      <c r="J14" s="26" t="e">
        <f ca="1">_xll.AddDuration(_xll.MarketRefDate($K$4),I14)</f>
        <v>#NAME?</v>
      </c>
      <c r="K14" s="7" t="s">
        <v>5</v>
      </c>
      <c r="L14" s="27" t="e">
        <f t="shared" ca="1" si="0"/>
        <v>#NAME?</v>
      </c>
      <c r="M14" s="7" t="s">
        <v>37</v>
      </c>
      <c r="N14" s="8">
        <v>1</v>
      </c>
      <c r="P14" s="6" t="s">
        <v>27</v>
      </c>
      <c r="Q14" s="12">
        <v>0.2</v>
      </c>
      <c r="S14" s="6"/>
      <c r="T14" s="8"/>
    </row>
    <row r="15" spans="1:20">
      <c r="A15" s="41" t="e">
        <f ca="1"/>
        <v>#NAME?</v>
      </c>
      <c r="B15" s="39" t="e">
        <f ca="1">_xll.DayCount($K$22,F15,"act/365")</f>
        <v>#NAME?</v>
      </c>
      <c r="C15" s="38" t="e">
        <f ca="1">_xll.BlackImpliedVol(A15,N15,B15,G15,"Call")</f>
        <v>#NAME?</v>
      </c>
      <c r="D15" s="42">
        <v>0.2</v>
      </c>
      <c r="E15" s="20"/>
      <c r="F15" s="26" t="e">
        <f ca="1"/>
        <v>#NAME?</v>
      </c>
      <c r="G15" s="30" t="e">
        <f ca="1"/>
        <v>#NAME?</v>
      </c>
      <c r="I15" t="s">
        <v>8</v>
      </c>
      <c r="J15" s="26" t="e">
        <f ca="1">_xll.AddDuration(_xll.MarketRefDate($K$4),I15)</f>
        <v>#NAME?</v>
      </c>
      <c r="K15" s="7" t="s">
        <v>5</v>
      </c>
      <c r="L15" s="27" t="e">
        <f t="shared" ca="1" si="0"/>
        <v>#NAME?</v>
      </c>
      <c r="M15" s="7" t="s">
        <v>37</v>
      </c>
      <c r="N15" s="8">
        <v>1</v>
      </c>
      <c r="P15" s="6" t="s">
        <v>41</v>
      </c>
      <c r="Q15" s="12">
        <v>0.2</v>
      </c>
      <c r="S15" s="6"/>
      <c r="T15" s="8"/>
    </row>
    <row r="16" spans="1:20">
      <c r="A16" s="41" t="e">
        <f ca="1"/>
        <v>#NAME?</v>
      </c>
      <c r="B16" s="39" t="e">
        <f ca="1">_xll.DayCount($K$22,F16,"act/365")</f>
        <v>#NAME?</v>
      </c>
      <c r="C16" s="38" t="e">
        <f ca="1">_xll.BlackImpliedVol(A16,N16,B16,G16,"Call")</f>
        <v>#NAME?</v>
      </c>
      <c r="D16" s="42">
        <v>0.2</v>
      </c>
      <c r="E16" s="20"/>
      <c r="F16" s="26" t="e">
        <f ca="1"/>
        <v>#NAME?</v>
      </c>
      <c r="G16" s="30" t="e">
        <f ca="1"/>
        <v>#NAME?</v>
      </c>
      <c r="I16" t="s">
        <v>14</v>
      </c>
      <c r="J16" s="26" t="e">
        <f ca="1">_xll.AddDuration(_xll.MarketRefDate($K$4),I16)</f>
        <v>#NAME?</v>
      </c>
      <c r="K16" s="7" t="s">
        <v>5</v>
      </c>
      <c r="L16" s="27" t="e">
        <f t="shared" ca="1" si="0"/>
        <v>#NAME?</v>
      </c>
      <c r="M16" s="7" t="s">
        <v>37</v>
      </c>
      <c r="N16" s="8">
        <v>1</v>
      </c>
      <c r="P16" s="6"/>
      <c r="Q16" s="8"/>
      <c r="S16" s="6"/>
      <c r="T16" s="8"/>
    </row>
    <row r="17" spans="1:21">
      <c r="A17" s="41" t="e">
        <f ca="1"/>
        <v>#NAME?</v>
      </c>
      <c r="B17" s="39" t="e">
        <f ca="1">_xll.DayCount($K$22,F17,"act/365")</f>
        <v>#NAME?</v>
      </c>
      <c r="C17" s="38" t="e">
        <f ca="1">_xll.BlackImpliedVol(A17,N17,B17,G17,"Call")</f>
        <v>#NAME?</v>
      </c>
      <c r="D17" s="42">
        <v>0.2</v>
      </c>
      <c r="E17" s="20"/>
      <c r="F17" s="26" t="e">
        <f ca="1"/>
        <v>#NAME?</v>
      </c>
      <c r="G17" s="30" t="e">
        <f ca="1"/>
        <v>#NAME?</v>
      </c>
      <c r="I17" t="s">
        <v>15</v>
      </c>
      <c r="J17" s="26" t="e">
        <f ca="1">_xll.AddDuration(_xll.MarketRefDate($K$4),I17)</f>
        <v>#NAME?</v>
      </c>
      <c r="K17" s="7" t="s">
        <v>5</v>
      </c>
      <c r="L17" s="27" t="e">
        <f t="shared" ca="1" si="0"/>
        <v>#NAME?</v>
      </c>
      <c r="M17" s="7" t="s">
        <v>37</v>
      </c>
      <c r="N17" s="8">
        <v>1</v>
      </c>
      <c r="P17" s="6"/>
      <c r="Q17" s="8"/>
      <c r="S17" s="6"/>
      <c r="T17" s="8"/>
    </row>
    <row r="18" spans="1:21">
      <c r="A18" s="41" t="e">
        <f ca="1"/>
        <v>#NAME?</v>
      </c>
      <c r="B18" s="39" t="e">
        <f ca="1">_xll.DayCount($K$22,F18,"act/365")</f>
        <v>#NAME?</v>
      </c>
      <c r="C18" s="40" t="e">
        <f ca="1">_xll.BlackImpliedVol(A18,N18,B18,G18,"Call")</f>
        <v>#NAME?</v>
      </c>
      <c r="D18" s="43">
        <v>0.2</v>
      </c>
      <c r="E18" s="20"/>
      <c r="F18" s="31" t="e">
        <f ca="1"/>
        <v>#NAME?</v>
      </c>
      <c r="G18" s="32" t="e">
        <f ca="1"/>
        <v>#NAME?</v>
      </c>
      <c r="I18" t="s">
        <v>9</v>
      </c>
      <c r="J18" s="26" t="e">
        <f ca="1">_xll.AddDuration(_xll.MarketRefDate($K$4),I18)</f>
        <v>#NAME?</v>
      </c>
      <c r="K18" s="7" t="s">
        <v>5</v>
      </c>
      <c r="L18" s="27" t="e">
        <f t="shared" ca="1" si="0"/>
        <v>#NAME?</v>
      </c>
      <c r="M18" s="7" t="s">
        <v>37</v>
      </c>
      <c r="N18" s="8">
        <v>1</v>
      </c>
      <c r="P18" s="6"/>
      <c r="Q18" s="8"/>
      <c r="S18" s="6"/>
      <c r="T18" s="8"/>
    </row>
    <row r="19" spans="1:21">
      <c r="E19" s="20"/>
      <c r="J19" s="13"/>
      <c r="K19" s="14"/>
      <c r="L19" s="14"/>
      <c r="M19" s="14"/>
      <c r="N19" s="15"/>
      <c r="P19" s="13"/>
      <c r="Q19" s="15"/>
      <c r="S19" s="13"/>
      <c r="T19" s="15"/>
    </row>
    <row r="22" spans="1:21">
      <c r="J22" s="2" t="s">
        <v>0</v>
      </c>
      <c r="K22" s="3">
        <v>42057</v>
      </c>
      <c r="L22" s="4"/>
      <c r="M22" s="4"/>
      <c r="N22" s="4"/>
      <c r="O22" s="4"/>
      <c r="P22" s="4"/>
      <c r="Q22" s="4"/>
      <c r="R22" s="4"/>
      <c r="S22" s="4"/>
      <c r="T22" s="4"/>
      <c r="U22" s="5"/>
    </row>
    <row r="23" spans="1:21">
      <c r="J23" s="6"/>
      <c r="K23" s="16"/>
      <c r="L23" s="7"/>
      <c r="M23" s="7"/>
      <c r="N23" s="7"/>
      <c r="O23" s="7"/>
      <c r="P23" s="7"/>
      <c r="Q23" s="7"/>
      <c r="R23" s="7"/>
      <c r="S23" s="7"/>
      <c r="T23" s="7"/>
      <c r="U23" s="8"/>
    </row>
    <row r="24" spans="1:21">
      <c r="J24" s="6"/>
      <c r="K24" s="16"/>
      <c r="L24" s="7"/>
      <c r="M24" s="7"/>
      <c r="N24" s="7"/>
      <c r="O24" s="7"/>
      <c r="P24" s="7"/>
      <c r="Q24" s="7"/>
      <c r="R24" s="7"/>
      <c r="S24" s="7"/>
      <c r="T24" s="7"/>
      <c r="U24" s="8"/>
    </row>
    <row r="25" spans="1:21">
      <c r="C25" s="21"/>
      <c r="J25" s="6"/>
      <c r="K25" s="7"/>
      <c r="L25" s="7"/>
      <c r="M25" s="7"/>
      <c r="N25" s="7"/>
      <c r="O25" s="7"/>
      <c r="P25" s="7"/>
      <c r="Q25" s="7"/>
      <c r="R25" s="7"/>
      <c r="S25" s="7"/>
      <c r="T25" s="7"/>
      <c r="U25" s="8"/>
    </row>
    <row r="26" spans="1:21">
      <c r="C26" s="20"/>
      <c r="J26" s="6" t="s">
        <v>1</v>
      </c>
      <c r="K26" s="7" t="s">
        <v>3</v>
      </c>
      <c r="L26" s="7" t="s">
        <v>4</v>
      </c>
      <c r="M26" s="7"/>
      <c r="N26" s="7"/>
      <c r="O26" s="7"/>
      <c r="P26" s="7"/>
      <c r="Q26" s="7"/>
      <c r="R26" s="7"/>
      <c r="S26" s="7"/>
      <c r="T26" s="7"/>
      <c r="U26" s="8"/>
    </row>
    <row r="27" spans="1:21">
      <c r="J27" s="6" t="s">
        <v>2</v>
      </c>
      <c r="K27" s="7">
        <v>1</v>
      </c>
      <c r="L27" s="7" t="s">
        <v>5</v>
      </c>
      <c r="M27" s="7"/>
      <c r="N27" s="7"/>
      <c r="O27" s="7"/>
      <c r="P27" s="7"/>
      <c r="Q27" s="7"/>
      <c r="R27" s="7"/>
      <c r="S27" s="7"/>
      <c r="T27" s="7"/>
      <c r="U27" s="8"/>
    </row>
    <row r="28" spans="1:21">
      <c r="J28" s="6"/>
      <c r="K28" s="7"/>
      <c r="L28" s="7"/>
      <c r="M28" s="7"/>
      <c r="N28" s="7"/>
      <c r="O28" s="7"/>
      <c r="P28" s="7"/>
      <c r="Q28" s="7"/>
      <c r="R28" s="7"/>
      <c r="S28" s="7"/>
      <c r="T28" s="7"/>
      <c r="U28" s="8"/>
    </row>
    <row r="29" spans="1:21">
      <c r="J29" s="6"/>
      <c r="K29" s="7"/>
      <c r="L29" s="7"/>
      <c r="M29" s="7"/>
      <c r="N29" s="7"/>
      <c r="O29" s="7"/>
      <c r="P29" s="7"/>
      <c r="Q29" s="7"/>
      <c r="R29" s="7"/>
      <c r="S29" s="7"/>
      <c r="T29" s="7"/>
      <c r="U29" s="8"/>
    </row>
    <row r="30" spans="1:21">
      <c r="J30" s="6" t="s">
        <v>10</v>
      </c>
      <c r="K30" s="7" t="s">
        <v>11</v>
      </c>
      <c r="L30" s="7" t="s">
        <v>12</v>
      </c>
      <c r="M30" s="7"/>
      <c r="N30" s="7" t="s">
        <v>6</v>
      </c>
      <c r="O30" s="7" t="s">
        <v>2</v>
      </c>
      <c r="P30" s="7"/>
      <c r="Q30" s="7" t="s">
        <v>13</v>
      </c>
      <c r="R30" s="7" t="s">
        <v>28</v>
      </c>
      <c r="S30" s="7" t="s">
        <v>29</v>
      </c>
      <c r="T30" s="7"/>
      <c r="U30" s="8"/>
    </row>
    <row r="31" spans="1:21">
      <c r="J31" s="9">
        <v>42238</v>
      </c>
      <c r="K31" s="11">
        <v>0</v>
      </c>
      <c r="L31" s="11">
        <v>0</v>
      </c>
      <c r="M31" s="7"/>
      <c r="N31" s="7" t="s">
        <v>7</v>
      </c>
      <c r="O31" s="10">
        <v>0</v>
      </c>
      <c r="P31" s="7"/>
      <c r="Q31" s="7" t="s">
        <v>7</v>
      </c>
      <c r="R31" s="11">
        <v>1</v>
      </c>
      <c r="S31" s="11">
        <v>1</v>
      </c>
      <c r="T31" s="7"/>
      <c r="U31" s="8"/>
    </row>
    <row r="32" spans="1:21">
      <c r="J32" s="9">
        <v>42422</v>
      </c>
      <c r="K32" s="11">
        <v>0</v>
      </c>
      <c r="L32" s="11">
        <v>0</v>
      </c>
      <c r="M32" s="7"/>
      <c r="N32" s="7" t="s">
        <v>8</v>
      </c>
      <c r="O32" s="10">
        <v>0</v>
      </c>
      <c r="P32" s="7"/>
      <c r="Q32" s="7" t="s">
        <v>8</v>
      </c>
      <c r="R32" s="11">
        <v>1</v>
      </c>
      <c r="S32" s="11">
        <v>1</v>
      </c>
      <c r="T32" s="7"/>
      <c r="U32" s="8"/>
    </row>
    <row r="33" spans="10:21">
      <c r="J33" s="9">
        <v>42604</v>
      </c>
      <c r="K33" s="11">
        <v>0</v>
      </c>
      <c r="L33" s="11">
        <v>0</v>
      </c>
      <c r="M33" s="7"/>
      <c r="N33" s="7" t="s">
        <v>9</v>
      </c>
      <c r="O33" s="10">
        <v>0</v>
      </c>
      <c r="P33" s="7"/>
      <c r="Q33" s="7" t="s">
        <v>14</v>
      </c>
      <c r="R33" s="11">
        <v>1</v>
      </c>
      <c r="S33" s="11">
        <v>1</v>
      </c>
      <c r="T33" s="7"/>
      <c r="U33" s="8"/>
    </row>
    <row r="34" spans="10:21">
      <c r="J34" s="9">
        <v>42788</v>
      </c>
      <c r="K34" s="11">
        <v>0</v>
      </c>
      <c r="L34" s="11">
        <v>0</v>
      </c>
      <c r="M34" s="7"/>
      <c r="N34" s="7"/>
      <c r="O34" s="7"/>
      <c r="P34" s="7"/>
      <c r="Q34" s="7" t="s">
        <v>15</v>
      </c>
      <c r="R34" s="11">
        <v>1</v>
      </c>
      <c r="S34" s="11">
        <v>1</v>
      </c>
      <c r="T34" s="7"/>
      <c r="U34" s="8"/>
    </row>
    <row r="35" spans="10:21">
      <c r="J35" s="9">
        <v>42969</v>
      </c>
      <c r="K35" s="11">
        <v>0</v>
      </c>
      <c r="L35" s="11">
        <v>0</v>
      </c>
      <c r="M35" s="7"/>
      <c r="N35" s="7"/>
      <c r="O35" s="7"/>
      <c r="P35" s="7"/>
      <c r="Q35" s="7" t="s">
        <v>9</v>
      </c>
      <c r="R35" s="11">
        <v>1</v>
      </c>
      <c r="S35" s="11">
        <v>1</v>
      </c>
      <c r="T35" s="7"/>
      <c r="U35" s="8"/>
    </row>
    <row r="36" spans="10:21">
      <c r="J36" s="9">
        <v>43153</v>
      </c>
      <c r="K36" s="11">
        <v>0</v>
      </c>
      <c r="L36" s="11">
        <v>0</v>
      </c>
      <c r="M36" s="7"/>
      <c r="N36" s="7"/>
      <c r="O36" s="7"/>
      <c r="P36" s="7"/>
      <c r="Q36" s="7"/>
      <c r="R36" s="11"/>
      <c r="S36" s="11"/>
      <c r="T36" s="7"/>
      <c r="U36" s="8"/>
    </row>
    <row r="37" spans="10:21">
      <c r="J37" s="9">
        <v>43334</v>
      </c>
      <c r="K37" s="11">
        <v>0</v>
      </c>
      <c r="L37" s="11">
        <v>0</v>
      </c>
      <c r="M37" s="7"/>
      <c r="N37" s="7"/>
      <c r="O37" s="7"/>
      <c r="P37" s="7"/>
      <c r="Q37" s="7"/>
      <c r="R37" s="11"/>
      <c r="S37" s="11"/>
      <c r="T37" s="7"/>
      <c r="U37" s="8"/>
    </row>
    <row r="38" spans="10:21">
      <c r="J38" s="9">
        <v>43518</v>
      </c>
      <c r="K38" s="11">
        <v>0</v>
      </c>
      <c r="L38" s="11">
        <v>0</v>
      </c>
      <c r="M38" s="7"/>
      <c r="N38" s="7"/>
      <c r="O38" s="7"/>
      <c r="P38" s="7"/>
      <c r="Q38" s="7"/>
      <c r="R38" s="11"/>
      <c r="S38" s="11"/>
      <c r="T38" s="7"/>
      <c r="U38" s="8"/>
    </row>
    <row r="39" spans="10:21">
      <c r="J39" s="9">
        <v>43699</v>
      </c>
      <c r="K39" s="11">
        <v>0</v>
      </c>
      <c r="L39" s="11">
        <v>0</v>
      </c>
      <c r="M39" s="7"/>
      <c r="N39" s="7"/>
      <c r="O39" s="7"/>
      <c r="P39" s="7"/>
      <c r="Q39" s="7"/>
      <c r="R39" s="11"/>
      <c r="S39" s="11"/>
      <c r="T39" s="7"/>
      <c r="U39" s="8"/>
    </row>
    <row r="40" spans="10:21">
      <c r="J40" s="6"/>
      <c r="K40" s="7"/>
      <c r="L40" s="7"/>
      <c r="M40" s="7"/>
      <c r="N40" s="7"/>
      <c r="O40" s="7"/>
      <c r="P40" s="7"/>
      <c r="Q40" s="7"/>
      <c r="R40" s="7"/>
      <c r="S40" s="7"/>
      <c r="T40" s="7"/>
      <c r="U40" s="8"/>
    </row>
    <row r="41" spans="10:21">
      <c r="J41" s="6"/>
      <c r="K41" s="7"/>
      <c r="L41" s="7"/>
      <c r="M41" s="7"/>
      <c r="N41" s="7"/>
      <c r="O41" s="7"/>
      <c r="P41" s="7"/>
      <c r="Q41" s="7"/>
      <c r="R41" s="7"/>
      <c r="S41" s="7"/>
      <c r="T41" s="7"/>
      <c r="U41" s="12"/>
    </row>
    <row r="42" spans="10:21">
      <c r="J42" s="6" t="s">
        <v>30</v>
      </c>
      <c r="K42" s="7">
        <v>2122.857308994217</v>
      </c>
      <c r="L42" s="7">
        <v>2592.8637723860124</v>
      </c>
      <c r="M42" s="7">
        <v>3166.9309631258584</v>
      </c>
      <c r="N42" s="7">
        <v>3500</v>
      </c>
      <c r="O42" s="7">
        <v>3868.0982132647669</v>
      </c>
      <c r="P42" s="7">
        <v>4724.5058265160114</v>
      </c>
      <c r="Q42" s="7">
        <v>5770.5244474504489</v>
      </c>
      <c r="R42" s="7"/>
      <c r="S42" s="7"/>
      <c r="T42" s="7"/>
      <c r="U42" s="12"/>
    </row>
    <row r="43" spans="10:21">
      <c r="J43" s="9">
        <v>42085</v>
      </c>
      <c r="K43" s="17">
        <v>0.23</v>
      </c>
      <c r="L43" s="17">
        <v>0.23</v>
      </c>
      <c r="M43" s="17">
        <v>0.25</v>
      </c>
      <c r="N43" s="17">
        <v>0.23</v>
      </c>
      <c r="O43" s="17">
        <v>0.23</v>
      </c>
      <c r="P43" s="17">
        <v>0.23</v>
      </c>
      <c r="Q43" s="17">
        <v>0.23</v>
      </c>
      <c r="R43" s="7"/>
      <c r="S43" s="7"/>
      <c r="T43" s="7"/>
      <c r="U43" s="12"/>
    </row>
    <row r="44" spans="10:21">
      <c r="J44" s="9">
        <v>42146</v>
      </c>
      <c r="K44" s="17">
        <v>0.23</v>
      </c>
      <c r="L44" s="17">
        <v>0.23</v>
      </c>
      <c r="M44" s="17">
        <v>0.23</v>
      </c>
      <c r="N44" s="17">
        <v>0.23</v>
      </c>
      <c r="O44" s="17">
        <v>0.23</v>
      </c>
      <c r="P44" s="17">
        <v>0.23</v>
      </c>
      <c r="Q44" s="17">
        <v>0.23</v>
      </c>
      <c r="R44" s="7"/>
      <c r="S44" s="7"/>
      <c r="T44" s="7"/>
      <c r="U44" s="12"/>
    </row>
    <row r="45" spans="10:21">
      <c r="J45" s="9">
        <v>42238</v>
      </c>
      <c r="K45" s="17">
        <v>0.23</v>
      </c>
      <c r="L45" s="17">
        <v>0.23</v>
      </c>
      <c r="M45" s="17">
        <v>0.23</v>
      </c>
      <c r="N45" s="17">
        <v>0.23</v>
      </c>
      <c r="O45" s="17">
        <v>0.23</v>
      </c>
      <c r="P45" s="17">
        <v>0.23</v>
      </c>
      <c r="Q45" s="17">
        <v>0.23</v>
      </c>
      <c r="R45" s="7"/>
      <c r="S45" s="7"/>
      <c r="T45" s="7"/>
      <c r="U45" s="8"/>
    </row>
    <row r="46" spans="10:21">
      <c r="J46" s="9">
        <v>42360</v>
      </c>
      <c r="K46" s="17">
        <v>0.23</v>
      </c>
      <c r="L46" s="17">
        <v>0.23</v>
      </c>
      <c r="M46" s="17">
        <v>0.23</v>
      </c>
      <c r="N46" s="17">
        <v>0.23</v>
      </c>
      <c r="O46" s="17">
        <v>0.23</v>
      </c>
      <c r="P46" s="17">
        <v>0.23</v>
      </c>
      <c r="Q46" s="17">
        <v>0.23</v>
      </c>
      <c r="R46" s="7"/>
      <c r="S46" s="7"/>
      <c r="T46" s="7"/>
      <c r="U46" s="8"/>
    </row>
    <row r="47" spans="10:21">
      <c r="J47" s="9">
        <v>42422</v>
      </c>
      <c r="K47" s="17">
        <v>0.23</v>
      </c>
      <c r="L47" s="17">
        <v>0.23</v>
      </c>
      <c r="M47" s="17">
        <v>0.23</v>
      </c>
      <c r="N47" s="17">
        <v>0.23</v>
      </c>
      <c r="O47" s="17">
        <v>0.23</v>
      </c>
      <c r="P47" s="17">
        <v>0.23</v>
      </c>
      <c r="Q47" s="17">
        <v>0.23</v>
      </c>
      <c r="R47" s="7"/>
      <c r="S47" s="7"/>
      <c r="T47" s="7"/>
      <c r="U47" s="8"/>
    </row>
    <row r="48" spans="10:21">
      <c r="J48" s="9">
        <v>42816</v>
      </c>
      <c r="K48" s="17">
        <v>0.23</v>
      </c>
      <c r="L48" s="17">
        <v>0.23</v>
      </c>
      <c r="M48" s="17">
        <v>0.23</v>
      </c>
      <c r="N48" s="17">
        <v>0.23</v>
      </c>
      <c r="O48" s="17">
        <v>0.23</v>
      </c>
      <c r="P48" s="17">
        <v>0.23</v>
      </c>
      <c r="Q48" s="17">
        <v>0.23</v>
      </c>
      <c r="R48" s="7"/>
      <c r="S48" s="7"/>
      <c r="T48" s="7"/>
      <c r="U48" s="8"/>
    </row>
    <row r="49" spans="10:21">
      <c r="J49" s="13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F46"/>
  <sheetViews>
    <sheetView tabSelected="1" workbookViewId="0">
      <selection activeCell="L11" sqref="L11"/>
    </sheetView>
  </sheetViews>
  <sheetFormatPr baseColWidth="10" defaultRowHeight="15"/>
  <cols>
    <col min="2" max="2" width="13.7109375" style="1" customWidth="1"/>
    <col min="3" max="4" width="13.140625" bestFit="1" customWidth="1"/>
    <col min="6" max="6" width="12.7109375" bestFit="1" customWidth="1"/>
    <col min="11" max="11" width="18.42578125" bestFit="1" customWidth="1"/>
    <col min="12" max="12" width="13.5703125" customWidth="1"/>
    <col min="14" max="14" width="19.85546875" bestFit="1" customWidth="1"/>
    <col min="17" max="17" width="12.140625" bestFit="1" customWidth="1"/>
    <col min="18" max="18" width="12.28515625" bestFit="1" customWidth="1"/>
    <col min="19" max="19" width="12.5703125" bestFit="1" customWidth="1"/>
    <col min="20" max="20" width="12.7109375" bestFit="1" customWidth="1"/>
    <col min="22" max="22" width="12.5703125" bestFit="1" customWidth="1"/>
    <col min="23" max="23" width="12.7109375" bestFit="1" customWidth="1"/>
    <col min="24" max="24" width="13.28515625" bestFit="1" customWidth="1"/>
  </cols>
  <sheetData>
    <row r="1" spans="1:32">
      <c r="B1" s="23" t="s">
        <v>38</v>
      </c>
      <c r="C1" s="5" t="s">
        <v>39</v>
      </c>
      <c r="E1" s="23" t="s">
        <v>43</v>
      </c>
      <c r="F1" s="5" t="s">
        <v>44</v>
      </c>
    </row>
    <row r="2" spans="1:32">
      <c r="B2" s="24" t="s">
        <v>1</v>
      </c>
      <c r="C2" s="8" t="s">
        <v>2</v>
      </c>
      <c r="E2" s="24" t="s">
        <v>45</v>
      </c>
      <c r="F2" s="29">
        <v>100000</v>
      </c>
      <c r="Q2" s="2" t="s">
        <v>0</v>
      </c>
      <c r="R2" s="3">
        <v>42057</v>
      </c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</row>
    <row r="3" spans="1:32">
      <c r="B3" s="24"/>
      <c r="C3" s="8"/>
      <c r="E3" s="24"/>
      <c r="F3" s="8"/>
      <c r="Q3" s="6"/>
      <c r="R3" s="16"/>
      <c r="S3" s="7"/>
      <c r="T3" s="7"/>
      <c r="U3" s="7" t="s">
        <v>13</v>
      </c>
      <c r="V3" s="7" t="s">
        <v>28</v>
      </c>
      <c r="W3" s="7" t="s">
        <v>29</v>
      </c>
      <c r="X3" s="7"/>
      <c r="Y3" s="7"/>
      <c r="Z3" s="7"/>
      <c r="AA3" s="7"/>
      <c r="AB3" s="7"/>
      <c r="AC3" s="7"/>
      <c r="AD3" s="7"/>
      <c r="AE3" s="7"/>
      <c r="AF3" s="8"/>
    </row>
    <row r="4" spans="1:32">
      <c r="B4" s="24" t="s">
        <v>40</v>
      </c>
      <c r="C4" s="28" t="s">
        <v>42</v>
      </c>
      <c r="E4" s="24"/>
      <c r="F4" s="8"/>
      <c r="Q4" s="6" t="s">
        <v>1</v>
      </c>
      <c r="R4" s="7" t="s">
        <v>3</v>
      </c>
      <c r="S4" s="7" t="s">
        <v>4</v>
      </c>
      <c r="T4" s="7"/>
      <c r="U4" s="7" t="s">
        <v>7</v>
      </c>
      <c r="V4" s="11">
        <v>1</v>
      </c>
      <c r="W4" s="11">
        <v>1</v>
      </c>
      <c r="X4" s="7"/>
      <c r="Y4" s="11"/>
      <c r="Z4" s="11"/>
      <c r="AA4" s="7"/>
      <c r="AB4" s="7"/>
      <c r="AC4" s="7"/>
      <c r="AD4" s="7"/>
      <c r="AE4" s="7"/>
      <c r="AF4" s="8"/>
    </row>
    <row r="5" spans="1:32">
      <c r="B5" s="52" t="s">
        <v>9</v>
      </c>
      <c r="C5" s="53">
        <v>0.3</v>
      </c>
      <c r="E5" s="46"/>
      <c r="F5" s="15"/>
      <c r="K5" s="22" t="s">
        <v>49</v>
      </c>
      <c r="L5" t="e">
        <f ca="1">IF(_xll.SetMarket("mkt2",FlatMkt2), "mkt2", "FAILED")</f>
        <v>#NAME?</v>
      </c>
      <c r="Q5" s="6" t="s">
        <v>2</v>
      </c>
      <c r="R5" s="7">
        <v>1</v>
      </c>
      <c r="S5" s="7" t="s">
        <v>5</v>
      </c>
      <c r="T5" s="7"/>
      <c r="U5" s="7" t="s">
        <v>8</v>
      </c>
      <c r="V5" s="11">
        <v>1</v>
      </c>
      <c r="W5" s="11">
        <v>1</v>
      </c>
      <c r="X5" s="7"/>
      <c r="Y5" s="11"/>
      <c r="Z5" s="11"/>
      <c r="AA5" s="7"/>
      <c r="AB5" s="7"/>
      <c r="AC5" s="7"/>
      <c r="AD5" s="7"/>
      <c r="AE5" s="7"/>
      <c r="AF5" s="8"/>
    </row>
    <row r="6" spans="1:32">
      <c r="Q6" s="6"/>
      <c r="R6" s="7"/>
      <c r="S6" s="7"/>
      <c r="T6" s="7"/>
      <c r="U6" s="7" t="s">
        <v>14</v>
      </c>
      <c r="V6" s="11">
        <v>1</v>
      </c>
      <c r="W6" s="11">
        <v>1</v>
      </c>
      <c r="X6" s="7"/>
      <c r="Y6" s="11"/>
      <c r="Z6" s="11"/>
      <c r="AA6" s="7"/>
      <c r="AB6" s="7"/>
      <c r="AC6" s="7"/>
      <c r="AD6" s="7"/>
      <c r="AE6" s="7"/>
      <c r="AF6" s="8"/>
    </row>
    <row r="7" spans="1:32">
      <c r="K7" s="23" t="s">
        <v>31</v>
      </c>
      <c r="L7" s="4" t="s">
        <v>56</v>
      </c>
      <c r="M7" s="4"/>
      <c r="N7" s="4"/>
      <c r="O7" s="5"/>
      <c r="Q7" s="6"/>
      <c r="R7" s="7"/>
      <c r="S7" s="7"/>
      <c r="T7" s="7"/>
      <c r="U7" s="7" t="s">
        <v>15</v>
      </c>
      <c r="V7" s="11">
        <v>1</v>
      </c>
      <c r="W7" s="11">
        <v>1</v>
      </c>
      <c r="X7" s="7"/>
      <c r="Y7" s="11"/>
      <c r="Z7" s="11"/>
      <c r="AA7" s="7"/>
      <c r="AB7" s="7"/>
      <c r="AC7" s="7"/>
      <c r="AD7" s="7"/>
      <c r="AE7" s="7"/>
      <c r="AF7" s="8"/>
    </row>
    <row r="8" spans="1:32">
      <c r="B8" s="2" t="e">
        <f t="array" aca="1" ref="B8:C31" ca="1">_xludf.Price("price",K7:O32,$L$5,B1:C5,E1:F5)</f>
        <v>#NAME?</v>
      </c>
      <c r="C8" s="33" t="e">
        <f ca="1"/>
        <v>#NAME?</v>
      </c>
      <c r="K8" s="6"/>
      <c r="L8" s="7"/>
      <c r="M8" s="7"/>
      <c r="N8" s="7"/>
      <c r="O8" s="8"/>
      <c r="Q8" s="6"/>
      <c r="R8" s="7"/>
      <c r="S8" s="7"/>
      <c r="T8" s="7"/>
      <c r="U8" s="7" t="s">
        <v>9</v>
      </c>
      <c r="V8" s="11">
        <v>1</v>
      </c>
      <c r="W8" s="11">
        <v>1</v>
      </c>
      <c r="X8" s="7"/>
      <c r="Y8" s="11"/>
      <c r="Z8" s="11"/>
      <c r="AA8" s="7"/>
      <c r="AB8" s="7"/>
      <c r="AC8" s="7"/>
      <c r="AD8" s="7"/>
      <c r="AE8" s="7"/>
      <c r="AF8" s="8"/>
    </row>
    <row r="9" spans="1:32">
      <c r="B9" s="6" t="e">
        <f ca="1"/>
        <v>#NAME?</v>
      </c>
      <c r="C9" s="8" t="e">
        <f ca="1"/>
        <v>#NAME?</v>
      </c>
      <c r="K9" s="24" t="s">
        <v>57</v>
      </c>
      <c r="L9" s="7" t="s">
        <v>51</v>
      </c>
      <c r="M9" s="7"/>
      <c r="N9" s="7"/>
      <c r="O9" s="8"/>
      <c r="Q9" s="6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8"/>
    </row>
    <row r="10" spans="1:32">
      <c r="B10" s="6" t="e">
        <f ca="1"/>
        <v>#NAME?</v>
      </c>
      <c r="C10" s="7" t="e">
        <f ca="1"/>
        <v>#NAME?</v>
      </c>
      <c r="D10" s="23" t="s">
        <v>77</v>
      </c>
      <c r="E10" s="49" t="s">
        <v>78</v>
      </c>
      <c r="G10" s="56" t="s">
        <v>79</v>
      </c>
      <c r="I10" s="25"/>
      <c r="K10" s="24" t="s">
        <v>58</v>
      </c>
      <c r="L10" s="25" t="s">
        <v>87</v>
      </c>
      <c r="M10" s="25" t="s">
        <v>36</v>
      </c>
      <c r="N10" s="25" t="s">
        <v>35</v>
      </c>
      <c r="O10" s="28" t="s">
        <v>50</v>
      </c>
      <c r="Q10" s="6" t="s">
        <v>10</v>
      </c>
      <c r="R10" s="7" t="s">
        <v>11</v>
      </c>
      <c r="S10" s="7" t="s">
        <v>12</v>
      </c>
      <c r="T10" s="7"/>
      <c r="U10" s="7" t="s">
        <v>6</v>
      </c>
      <c r="V10" s="7" t="s">
        <v>2</v>
      </c>
      <c r="W10" s="7"/>
      <c r="X10" s="7" t="s">
        <v>30</v>
      </c>
      <c r="Y10" s="51">
        <v>0.60653065971263342</v>
      </c>
      <c r="Z10" s="51">
        <v>0.74081822068171788</v>
      </c>
      <c r="AA10" s="51">
        <v>0.90483741803595952</v>
      </c>
      <c r="AB10" s="51">
        <v>1</v>
      </c>
      <c r="AC10" s="51">
        <v>1.1051709180756477</v>
      </c>
      <c r="AD10" s="51">
        <v>1.3498588075760032</v>
      </c>
      <c r="AE10" s="51">
        <v>1.6487212707001282</v>
      </c>
      <c r="AF10" s="8"/>
    </row>
    <row r="11" spans="1:32">
      <c r="A11" s="50"/>
      <c r="B11" s="26" t="e">
        <f ca="1"/>
        <v>#NAME?</v>
      </c>
      <c r="C11" s="47" t="e">
        <f ca="1"/>
        <v>#NAME?</v>
      </c>
      <c r="D11" s="62" t="e">
        <f ca="1">_xll.EquityVanillaOption($L$5,$C$2,K11,O11,$C$5,"call")</f>
        <v>#NAME?</v>
      </c>
      <c r="E11" s="54" t="e">
        <f ca="1">C11-D11</f>
        <v>#NAME?</v>
      </c>
      <c r="G11" s="65">
        <v>3.3138996531299571E-2</v>
      </c>
      <c r="H11" s="58"/>
      <c r="I11" s="50"/>
      <c r="J11" t="s">
        <v>23</v>
      </c>
      <c r="K11" s="26" t="e">
        <f ca="1">_xll.AddDuration(_xll.MarketRefDate($L$5),J11)</f>
        <v>#NAME?</v>
      </c>
      <c r="L11" s="7" t="s">
        <v>5</v>
      </c>
      <c r="M11" s="27" t="e">
        <f t="shared" ref="M11:M31" ca="1" si="0">K11</f>
        <v>#NAME?</v>
      </c>
      <c r="N11" s="7" t="s">
        <v>37</v>
      </c>
      <c r="O11" s="8">
        <v>1</v>
      </c>
      <c r="Q11" s="9" t="e">
        <f ca="1">_xll.AddDuration($R$2,"3m")</f>
        <v>#NAME?</v>
      </c>
      <c r="R11" s="11">
        <v>1.4999999999999999E-2</v>
      </c>
      <c r="S11" s="11">
        <v>5.0000000000000001E-3</v>
      </c>
      <c r="T11" s="7"/>
      <c r="U11" s="7" t="s">
        <v>7</v>
      </c>
      <c r="V11" s="10">
        <v>0</v>
      </c>
      <c r="W11" s="7"/>
      <c r="X11" s="16">
        <v>42085</v>
      </c>
      <c r="Y11" s="17">
        <v>0.23</v>
      </c>
      <c r="Z11" s="17">
        <v>0.23</v>
      </c>
      <c r="AA11" s="17">
        <v>0.23</v>
      </c>
      <c r="AB11" s="17">
        <v>0.23</v>
      </c>
      <c r="AC11" s="17">
        <v>0.23</v>
      </c>
      <c r="AD11" s="17">
        <v>0.23</v>
      </c>
      <c r="AE11" s="17">
        <v>0.23</v>
      </c>
      <c r="AF11" s="8"/>
    </row>
    <row r="12" spans="1:32">
      <c r="B12" s="26" t="e">
        <f ca="1"/>
        <v>#NAME?</v>
      </c>
      <c r="C12" s="47" t="e">
        <f ca="1"/>
        <v>#NAME?</v>
      </c>
      <c r="D12" s="62" t="e">
        <f ca="1">_xll.EquityVanillaOption($L$5,$C$2,K12,O12,$C$5,"call")</f>
        <v>#NAME?</v>
      </c>
      <c r="E12" s="54" t="e">
        <f ca="1">C12-D12</f>
        <v>#NAME?</v>
      </c>
      <c r="G12" s="65">
        <v>4.8089256522697646E-2</v>
      </c>
      <c r="H12" s="58"/>
      <c r="I12" s="50"/>
      <c r="J12" t="s">
        <v>63</v>
      </c>
      <c r="K12" s="26" t="e">
        <f ca="1">_xll.AddDuration(_xll.MarketRefDate($L$5),J12)</f>
        <v>#NAME?</v>
      </c>
      <c r="L12" s="7" t="s">
        <v>5</v>
      </c>
      <c r="M12" s="27" t="e">
        <f t="shared" ca="1" si="0"/>
        <v>#NAME?</v>
      </c>
      <c r="N12" s="7" t="s">
        <v>37</v>
      </c>
      <c r="O12" s="8">
        <v>1</v>
      </c>
      <c r="Q12" s="9" t="e">
        <f ca="1">_xll.AddDuration(Q11,"3m")</f>
        <v>#NAME?</v>
      </c>
      <c r="R12" s="11">
        <v>1.4999999999999999E-2</v>
      </c>
      <c r="S12" s="11">
        <v>5.0000000000000001E-3</v>
      </c>
      <c r="T12" s="7"/>
      <c r="U12" s="7" t="s">
        <v>8</v>
      </c>
      <c r="V12" s="10">
        <v>0</v>
      </c>
      <c r="W12" s="7"/>
      <c r="X12" s="16">
        <v>42146</v>
      </c>
      <c r="Y12" s="17">
        <v>0.23</v>
      </c>
      <c r="Z12" s="17">
        <v>0.23</v>
      </c>
      <c r="AA12" s="17">
        <v>0.23</v>
      </c>
      <c r="AB12" s="17">
        <v>0.23</v>
      </c>
      <c r="AC12" s="17">
        <v>0.23</v>
      </c>
      <c r="AD12" s="17">
        <v>0.23</v>
      </c>
      <c r="AE12" s="17">
        <v>0.23</v>
      </c>
      <c r="AF12" s="8"/>
    </row>
    <row r="13" spans="1:32">
      <c r="B13" s="26" t="e">
        <f ca="1"/>
        <v>#NAME?</v>
      </c>
      <c r="C13" s="47" t="e">
        <f ca="1"/>
        <v>#NAME?</v>
      </c>
      <c r="D13" s="62" t="e">
        <f ca="1">_xll.EquityVanillaOption($L$5,$C$2,K13,O13,$C$5,"call")</f>
        <v>#NAME?</v>
      </c>
      <c r="E13" s="54" t="e">
        <f t="shared" ref="E13:E30" ca="1" si="1">C13-D13</f>
        <v>#NAME?</v>
      </c>
      <c r="G13" s="65">
        <v>4.9873890057227373E-2</v>
      </c>
      <c r="H13" s="58"/>
      <c r="I13" s="50"/>
      <c r="J13" t="s">
        <v>24</v>
      </c>
      <c r="K13" s="26" t="e">
        <f ca="1">_xll.AddDuration(_xll.MarketRefDate($L$5),J13)</f>
        <v>#NAME?</v>
      </c>
      <c r="L13" s="7" t="s">
        <v>5</v>
      </c>
      <c r="M13" s="27" t="e">
        <f t="shared" ca="1" si="0"/>
        <v>#NAME?</v>
      </c>
      <c r="N13" s="7" t="s">
        <v>37</v>
      </c>
      <c r="O13" s="8">
        <v>1</v>
      </c>
      <c r="Q13" s="9" t="e">
        <f ca="1">_xll.AddDuration(Q12,"3m")</f>
        <v>#NAME?</v>
      </c>
      <c r="R13" s="11">
        <v>1.4999999999999999E-2</v>
      </c>
      <c r="S13" s="11">
        <v>5.0000000000000001E-3</v>
      </c>
      <c r="T13" s="7"/>
      <c r="U13" s="7" t="s">
        <v>9</v>
      </c>
      <c r="V13" s="10">
        <v>0</v>
      </c>
      <c r="W13" s="7"/>
      <c r="X13" s="16">
        <v>42238</v>
      </c>
      <c r="Y13" s="17">
        <v>0.23</v>
      </c>
      <c r="Z13" s="17">
        <v>0.23</v>
      </c>
      <c r="AA13" s="17">
        <v>0.23</v>
      </c>
      <c r="AB13" s="17">
        <v>0.23</v>
      </c>
      <c r="AC13" s="17">
        <v>0.23</v>
      </c>
      <c r="AD13" s="17">
        <v>0.23</v>
      </c>
      <c r="AE13" s="17">
        <v>0.23</v>
      </c>
      <c r="AF13" s="8"/>
    </row>
    <row r="14" spans="1:32">
      <c r="B14" s="26" t="e">
        <f ca="1"/>
        <v>#NAME?</v>
      </c>
      <c r="C14" s="47" t="e">
        <f ca="1"/>
        <v>#NAME?</v>
      </c>
      <c r="D14" s="62" t="e">
        <f ca="1">_xll.EquityVanillaOption($L$5,$C$2,K14,O14,$C$5,"call")</f>
        <v>#NAME?</v>
      </c>
      <c r="E14" s="54" t="e">
        <f t="shared" ca="1" si="1"/>
        <v>#NAME?</v>
      </c>
      <c r="G14" s="65">
        <v>5.9079489436516058E-2</v>
      </c>
      <c r="H14" s="58"/>
      <c r="I14" s="50"/>
      <c r="J14" t="s">
        <v>64</v>
      </c>
      <c r="K14" s="26" t="e">
        <f ca="1">_xll.AddDuration(_xll.MarketRefDate($L$5),J14)</f>
        <v>#NAME?</v>
      </c>
      <c r="L14" s="7" t="s">
        <v>5</v>
      </c>
      <c r="M14" s="27" t="e">
        <f t="shared" ca="1" si="0"/>
        <v>#NAME?</v>
      </c>
      <c r="N14" s="7" t="s">
        <v>37</v>
      </c>
      <c r="O14" s="8">
        <v>1</v>
      </c>
      <c r="Q14" s="9" t="e">
        <f ca="1">_xll.AddDuration(Q13,"3m")</f>
        <v>#NAME?</v>
      </c>
      <c r="R14" s="11">
        <v>1.4999999999999999E-2</v>
      </c>
      <c r="S14" s="11">
        <v>5.0000000000000001E-3</v>
      </c>
      <c r="T14" s="7"/>
      <c r="U14" s="7"/>
      <c r="V14" s="7"/>
      <c r="W14" s="7"/>
      <c r="X14" s="16">
        <v>42360</v>
      </c>
      <c r="Y14" s="17">
        <v>0.23</v>
      </c>
      <c r="Z14" s="17">
        <v>0.23</v>
      </c>
      <c r="AA14" s="17">
        <v>0.23</v>
      </c>
      <c r="AB14" s="17">
        <v>0.23</v>
      </c>
      <c r="AC14" s="17">
        <v>0.23</v>
      </c>
      <c r="AD14" s="17">
        <v>0.23</v>
      </c>
      <c r="AE14" s="17">
        <v>0.23</v>
      </c>
      <c r="AF14" s="8"/>
    </row>
    <row r="15" spans="1:32">
      <c r="B15" s="26" t="e">
        <f ca="1"/>
        <v>#NAME?</v>
      </c>
      <c r="C15" s="47" t="e">
        <f ca="1"/>
        <v>#NAME?</v>
      </c>
      <c r="D15" s="62" t="e">
        <f ca="1">_xll.EquityVanillaOption($L$5,$C$2,K15,O15,$C$5,"call")</f>
        <v>#NAME?</v>
      </c>
      <c r="E15" s="54" t="e">
        <f t="shared" ca="1" si="1"/>
        <v>#NAME?</v>
      </c>
      <c r="G15" s="65">
        <v>6.6938391524563615E-2</v>
      </c>
      <c r="H15" s="58"/>
      <c r="I15" s="50"/>
      <c r="J15" t="s">
        <v>65</v>
      </c>
      <c r="K15" s="26" t="e">
        <f ca="1">_xll.AddDuration(_xll.MarketRefDate($L$5),J15)</f>
        <v>#NAME?</v>
      </c>
      <c r="L15" s="7" t="s">
        <v>5</v>
      </c>
      <c r="M15" s="27" t="e">
        <f t="shared" ca="1" si="0"/>
        <v>#NAME?</v>
      </c>
      <c r="N15" s="7" t="s">
        <v>37</v>
      </c>
      <c r="O15" s="8">
        <v>1</v>
      </c>
      <c r="Q15" s="9" t="e">
        <f ca="1">_xll.AddDuration(Q14,"3m")</f>
        <v>#NAME?</v>
      </c>
      <c r="R15" s="11">
        <v>1.4999999999999999E-2</v>
      </c>
      <c r="S15" s="11">
        <v>5.0000000000000001E-3</v>
      </c>
      <c r="T15" s="7"/>
      <c r="U15" s="7"/>
      <c r="V15" s="7"/>
      <c r="W15" s="7"/>
      <c r="X15" s="16">
        <v>42422</v>
      </c>
      <c r="Y15" s="17">
        <v>0.23</v>
      </c>
      <c r="Z15" s="17">
        <v>0.23</v>
      </c>
      <c r="AA15" s="17">
        <v>0.23</v>
      </c>
      <c r="AB15" s="17">
        <v>0.23</v>
      </c>
      <c r="AC15" s="17">
        <v>0.23</v>
      </c>
      <c r="AD15" s="17">
        <v>0.23</v>
      </c>
      <c r="AE15" s="17">
        <v>0.23</v>
      </c>
      <c r="AF15" s="8"/>
    </row>
    <row r="16" spans="1:32">
      <c r="B16" s="26" t="e">
        <f ca="1"/>
        <v>#NAME?</v>
      </c>
      <c r="C16" s="47" t="e">
        <f ca="1"/>
        <v>#NAME?</v>
      </c>
      <c r="D16" s="62" t="e">
        <f ca="1">_xll.EquityVanillaOption($L$5,$C$2,K16,O16,$C$5,"call")</f>
        <v>#NAME?</v>
      </c>
      <c r="E16" s="54" t="e">
        <f t="shared" ca="1" si="1"/>
        <v>#NAME?</v>
      </c>
      <c r="G16" s="65">
        <v>6.5869725660122058E-2</v>
      </c>
      <c r="H16" s="58"/>
      <c r="I16" s="50"/>
      <c r="J16" t="s">
        <v>25</v>
      </c>
      <c r="K16" s="26" t="e">
        <f ca="1">_xll.AddDuration(_xll.MarketRefDate($L$5),J16)</f>
        <v>#NAME?</v>
      </c>
      <c r="L16" s="7" t="s">
        <v>5</v>
      </c>
      <c r="M16" s="27" t="e">
        <f t="shared" ca="1" si="0"/>
        <v>#NAME?</v>
      </c>
      <c r="N16" s="7" t="s">
        <v>37</v>
      </c>
      <c r="O16" s="8">
        <v>1</v>
      </c>
      <c r="Q16" s="9" t="e">
        <f ca="1">_xll.AddDuration(Q15,"3m")</f>
        <v>#NAME?</v>
      </c>
      <c r="R16" s="11">
        <v>1.4999999999999999E-2</v>
      </c>
      <c r="S16" s="11">
        <v>5.0000000000000001E-3</v>
      </c>
      <c r="T16" s="7"/>
      <c r="U16" s="7"/>
      <c r="V16" s="7"/>
      <c r="W16" s="7"/>
      <c r="X16" s="16">
        <v>42816</v>
      </c>
      <c r="Y16" s="17">
        <v>0.23</v>
      </c>
      <c r="Z16" s="17">
        <v>0.23</v>
      </c>
      <c r="AA16" s="17">
        <v>0.23</v>
      </c>
      <c r="AB16" s="17">
        <v>0.23</v>
      </c>
      <c r="AC16" s="17">
        <v>0.23</v>
      </c>
      <c r="AD16" s="17">
        <v>0.23</v>
      </c>
      <c r="AE16" s="17">
        <v>0.23</v>
      </c>
      <c r="AF16" s="8"/>
    </row>
    <row r="17" spans="2:32">
      <c r="B17" s="26" t="e">
        <f ca="1"/>
        <v>#NAME?</v>
      </c>
      <c r="C17" s="47" t="e">
        <f ca="1"/>
        <v>#NAME?</v>
      </c>
      <c r="D17" s="62" t="e">
        <f ca="1">_xll.EquityVanillaOption($L$5,$C$2,K17,O17,$C$5,"call")</f>
        <v>#NAME?</v>
      </c>
      <c r="E17" s="54" t="e">
        <f t="shared" ca="1" si="1"/>
        <v>#NAME?</v>
      </c>
      <c r="G17" s="65">
        <v>7.2372599605600232E-2</v>
      </c>
      <c r="H17" s="58"/>
      <c r="I17" s="50"/>
      <c r="J17" t="s">
        <v>66</v>
      </c>
      <c r="K17" s="26" t="e">
        <f ca="1">_xll.AddDuration(_xll.MarketRefDate($L$5),J17)</f>
        <v>#NAME?</v>
      </c>
      <c r="L17" s="7" t="s">
        <v>5</v>
      </c>
      <c r="M17" s="27" t="e">
        <f t="shared" ca="1" si="0"/>
        <v>#NAME?</v>
      </c>
      <c r="N17" s="7" t="s">
        <v>37</v>
      </c>
      <c r="O17" s="8">
        <v>1</v>
      </c>
      <c r="Q17" s="9" t="e">
        <f ca="1">_xll.AddDuration(Q16,"3m")</f>
        <v>#NAME?</v>
      </c>
      <c r="R17" s="11">
        <v>1.4999999999999999E-2</v>
      </c>
      <c r="S17" s="11">
        <v>5.0000000000000001E-3</v>
      </c>
      <c r="T17" s="7"/>
      <c r="U17" s="7"/>
      <c r="V17" s="7"/>
      <c r="W17" s="7"/>
      <c r="X17" s="7"/>
      <c r="Y17" s="11"/>
      <c r="Z17" s="11"/>
      <c r="AA17" s="7"/>
      <c r="AB17" s="7"/>
      <c r="AC17" s="7"/>
      <c r="AD17" s="7"/>
      <c r="AE17" s="7"/>
      <c r="AF17" s="8"/>
    </row>
    <row r="18" spans="2:32">
      <c r="B18" s="26" t="e">
        <f ca="1"/>
        <v>#NAME?</v>
      </c>
      <c r="C18" s="47" t="e">
        <f ca="1"/>
        <v>#NAME?</v>
      </c>
      <c r="D18" s="62" t="e">
        <f ca="1">_xll.EquityVanillaOption($L$5,$C$2,K18,O18,$C$5,"call")</f>
        <v>#NAME?</v>
      </c>
      <c r="E18" s="54" t="e">
        <f t="shared" ca="1" si="1"/>
        <v>#NAME?</v>
      </c>
      <c r="G18" s="65">
        <v>7.8250393093214826E-2</v>
      </c>
      <c r="H18" s="58"/>
      <c r="I18" s="50"/>
      <c r="J18" t="s">
        <v>67</v>
      </c>
      <c r="K18" s="26" t="e">
        <f ca="1">_xll.AddDuration(_xll.MarketRefDate($L$5),J18)</f>
        <v>#NAME?</v>
      </c>
      <c r="L18" s="7" t="s">
        <v>5</v>
      </c>
      <c r="M18" s="27" t="e">
        <f t="shared" ca="1" si="0"/>
        <v>#NAME?</v>
      </c>
      <c r="N18" s="7" t="s">
        <v>37</v>
      </c>
      <c r="O18" s="8">
        <v>1</v>
      </c>
      <c r="Q18" s="9" t="e">
        <f ca="1">_xll.AddDuration(Q17,"3m")</f>
        <v>#NAME?</v>
      </c>
      <c r="R18" s="11">
        <v>1.4999999999999999E-2</v>
      </c>
      <c r="S18" s="11">
        <v>5.0000000000000001E-3</v>
      </c>
      <c r="T18" s="7"/>
      <c r="U18" s="7"/>
      <c r="V18" s="7"/>
      <c r="W18" s="7"/>
      <c r="X18" s="7"/>
      <c r="Y18" s="11"/>
      <c r="Z18" s="11"/>
      <c r="AA18" s="7"/>
      <c r="AB18" s="7"/>
      <c r="AC18" s="7"/>
      <c r="AD18" s="7"/>
      <c r="AE18" s="7"/>
      <c r="AF18" s="8"/>
    </row>
    <row r="19" spans="2:32">
      <c r="B19" s="26" t="e">
        <f ca="1"/>
        <v>#NAME?</v>
      </c>
      <c r="C19" s="47" t="e">
        <f ca="1"/>
        <v>#NAME?</v>
      </c>
      <c r="D19" s="62" t="e">
        <f ca="1">_xll.EquityVanillaOption($L$5,$C$2,K19,O19,$C$5,"call")</f>
        <v>#NAME?</v>
      </c>
      <c r="E19" s="54" t="e">
        <f t="shared" ca="1" si="1"/>
        <v>#NAME?</v>
      </c>
      <c r="G19" s="65">
        <v>7.6080591513968288E-2</v>
      </c>
      <c r="H19" s="58"/>
      <c r="I19" s="50"/>
      <c r="J19" t="s">
        <v>26</v>
      </c>
      <c r="K19" s="26" t="e">
        <f ca="1">_xll.AddDuration(_xll.MarketRefDate($L$5),J19)</f>
        <v>#NAME?</v>
      </c>
      <c r="L19" s="7" t="s">
        <v>5</v>
      </c>
      <c r="M19" s="27" t="e">
        <f t="shared" ca="1" si="0"/>
        <v>#NAME?</v>
      </c>
      <c r="N19" s="7" t="s">
        <v>37</v>
      </c>
      <c r="O19" s="8">
        <v>1</v>
      </c>
      <c r="Q19" s="9" t="e">
        <f ca="1">_xll.AddDuration(Q18,"3m")</f>
        <v>#NAME?</v>
      </c>
      <c r="R19" s="11">
        <v>1.4999999999999999E-2</v>
      </c>
      <c r="S19" s="11">
        <v>5.0000000000000001E-3</v>
      </c>
      <c r="T19" s="7"/>
      <c r="U19" s="7"/>
      <c r="V19" s="7"/>
      <c r="W19" s="7"/>
      <c r="X19" s="7"/>
      <c r="Y19" s="11"/>
      <c r="Z19" s="11"/>
      <c r="AA19" s="7"/>
      <c r="AB19" s="7"/>
      <c r="AC19" s="7"/>
      <c r="AD19" s="7"/>
      <c r="AE19" s="7"/>
      <c r="AF19" s="8"/>
    </row>
    <row r="20" spans="2:32">
      <c r="B20" s="26" t="e">
        <f ca="1"/>
        <v>#NAME?</v>
      </c>
      <c r="C20" s="47" t="e">
        <f ca="1"/>
        <v>#NAME?</v>
      </c>
      <c r="D20" s="62" t="e">
        <f ca="1">_xll.EquityVanillaOption($L$5,$C$2,K20,O20,$C$5,"call")</f>
        <v>#NAME?</v>
      </c>
      <c r="E20" s="54" t="e">
        <f t="shared" ca="1" si="1"/>
        <v>#NAME?</v>
      </c>
      <c r="G20" s="65">
        <v>8.1125424123631523E-2</v>
      </c>
      <c r="H20" s="58"/>
      <c r="I20" s="50"/>
      <c r="J20" t="s">
        <v>68</v>
      </c>
      <c r="K20" s="26" t="e">
        <f ca="1">_xll.AddDuration(_xll.MarketRefDate($L$5),J20)</f>
        <v>#NAME?</v>
      </c>
      <c r="L20" s="7" t="s">
        <v>5</v>
      </c>
      <c r="M20" s="27" t="e">
        <f t="shared" ca="1" si="0"/>
        <v>#NAME?</v>
      </c>
      <c r="N20" s="7" t="s">
        <v>37</v>
      </c>
      <c r="O20" s="8">
        <v>1</v>
      </c>
      <c r="Q20" s="9" t="e">
        <f ca="1">_xll.AddDuration(Q19,"3m")</f>
        <v>#NAME?</v>
      </c>
      <c r="R20" s="11">
        <v>1.4999999999999999E-2</v>
      </c>
      <c r="S20" s="11">
        <v>5.0000000000000001E-3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</row>
    <row r="21" spans="2:32">
      <c r="B21" s="26" t="e">
        <f ca="1"/>
        <v>#NAME?</v>
      </c>
      <c r="C21" s="47" t="e">
        <f ca="1"/>
        <v>#NAME?</v>
      </c>
      <c r="D21" s="62" t="e">
        <f ca="1">_xll.EquityVanillaOption($L$5,$C$2,K21,O21,$C$5,"call")</f>
        <v>#NAME?</v>
      </c>
      <c r="E21" s="54" t="e">
        <f t="shared" ca="1" si="1"/>
        <v>#NAME?</v>
      </c>
      <c r="G21" s="65">
        <v>8.6103444823931452E-2</v>
      </c>
      <c r="H21" s="58"/>
      <c r="I21" s="50"/>
      <c r="J21" t="s">
        <v>69</v>
      </c>
      <c r="K21" s="26" t="e">
        <f ca="1">_xll.AddDuration(_xll.MarketRefDate($L$5),J21)</f>
        <v>#NAME?</v>
      </c>
      <c r="L21" s="7" t="s">
        <v>5</v>
      </c>
      <c r="M21" s="27" t="e">
        <f t="shared" ca="1" si="0"/>
        <v>#NAME?</v>
      </c>
      <c r="N21" s="7" t="s">
        <v>37</v>
      </c>
      <c r="O21" s="8">
        <v>1</v>
      </c>
      <c r="Q21" s="9" t="e">
        <f ca="1">_xll.AddDuration(Q20,"3m")</f>
        <v>#NAME?</v>
      </c>
      <c r="R21" s="11">
        <v>1.4999999999999999E-2</v>
      </c>
      <c r="S21" s="11">
        <v>5.0000000000000001E-3</v>
      </c>
      <c r="T21" s="7"/>
      <c r="U21" s="7"/>
      <c r="V21" s="7"/>
      <c r="W21" s="7"/>
      <c r="X21" s="7"/>
      <c r="Y21" s="7"/>
      <c r="Z21" s="7"/>
      <c r="AA21" s="7"/>
      <c r="AB21" s="10"/>
      <c r="AC21" s="7"/>
      <c r="AD21" s="7"/>
      <c r="AE21" s="7"/>
      <c r="AF21" s="8"/>
    </row>
    <row r="22" spans="2:32">
      <c r="B22" s="26" t="e">
        <f ca="1"/>
        <v>#NAME?</v>
      </c>
      <c r="C22" s="47" t="e">
        <f ca="1"/>
        <v>#NAME?</v>
      </c>
      <c r="D22" s="62" t="e">
        <f ca="1">_xll.EquityVanillaOption($L$5,$C$2,K22,O22,$C$5,"call")</f>
        <v>#NAME?</v>
      </c>
      <c r="E22" s="54" t="e">
        <f t="shared" ca="1" si="1"/>
        <v>#NAME?</v>
      </c>
      <c r="G22" s="65">
        <v>8.3407587878587458E-2</v>
      </c>
      <c r="H22" s="58"/>
      <c r="I22" s="50"/>
      <c r="J22" t="s">
        <v>27</v>
      </c>
      <c r="K22" s="26" t="e">
        <f ca="1">_xll.AddDuration(_xll.MarketRefDate($L$5),J22)</f>
        <v>#NAME?</v>
      </c>
      <c r="L22" s="7" t="s">
        <v>5</v>
      </c>
      <c r="M22" s="27" t="e">
        <f t="shared" ca="1" si="0"/>
        <v>#NAME?</v>
      </c>
      <c r="N22" s="7" t="s">
        <v>37</v>
      </c>
      <c r="O22" s="8">
        <v>1</v>
      </c>
      <c r="Q22" s="9" t="e">
        <f ca="1">_xll.AddDuration(Q21,"3m")</f>
        <v>#NAME?</v>
      </c>
      <c r="R22" s="11">
        <v>1.4999999999999999E-2</v>
      </c>
      <c r="S22" s="11">
        <v>5.0000000000000001E-3</v>
      </c>
      <c r="T22" s="51"/>
      <c r="U22" s="51"/>
      <c r="V22" s="51"/>
      <c r="W22" s="51"/>
      <c r="X22" s="51"/>
      <c r="Y22" s="7"/>
      <c r="Z22" s="7"/>
      <c r="AA22" s="7"/>
      <c r="AB22" s="10"/>
      <c r="AC22" s="7"/>
      <c r="AD22" s="7"/>
      <c r="AE22" s="7"/>
      <c r="AF22" s="8"/>
    </row>
    <row r="23" spans="2:32">
      <c r="B23" s="26" t="e">
        <f ca="1"/>
        <v>#NAME?</v>
      </c>
      <c r="C23" s="47" t="e">
        <f ca="1"/>
        <v>#NAME?</v>
      </c>
      <c r="D23" s="62" t="e">
        <f ca="1">_xll.EquityVanillaOption($L$5,$C$2,K23,O23,$C$5,"call")</f>
        <v>#NAME?</v>
      </c>
      <c r="E23" s="54" t="e">
        <f t="shared" ca="1" si="1"/>
        <v>#NAME?</v>
      </c>
      <c r="G23" s="65">
        <v>8.867605888604356E-2</v>
      </c>
      <c r="H23" s="58"/>
      <c r="I23" s="50"/>
      <c r="J23" t="s">
        <v>70</v>
      </c>
      <c r="K23" s="26" t="e">
        <f ca="1">_xll.AddDuration(_xll.MarketRefDate($L$5),J23)</f>
        <v>#NAME?</v>
      </c>
      <c r="L23" s="7" t="s">
        <v>5</v>
      </c>
      <c r="M23" s="27" t="e">
        <f t="shared" ca="1" si="0"/>
        <v>#NAME?</v>
      </c>
      <c r="N23" s="7" t="s">
        <v>37</v>
      </c>
      <c r="O23" s="8">
        <v>1</v>
      </c>
      <c r="Q23" s="9" t="e">
        <f ca="1">_xll.AddDuration(Q22,"3m")</f>
        <v>#NAME?</v>
      </c>
      <c r="R23" s="11">
        <v>1.4999999999999999E-2</v>
      </c>
      <c r="S23" s="11">
        <v>5.0000000000000001E-3</v>
      </c>
      <c r="T23" s="17"/>
      <c r="U23" s="17"/>
      <c r="V23" s="17"/>
      <c r="W23" s="17"/>
      <c r="X23" s="17"/>
      <c r="Y23" s="7"/>
      <c r="Z23" s="7"/>
      <c r="AA23" s="7"/>
      <c r="AB23" s="10"/>
      <c r="AC23" s="7"/>
      <c r="AD23" s="7"/>
      <c r="AE23" s="7"/>
      <c r="AF23" s="8"/>
    </row>
    <row r="24" spans="2:32">
      <c r="B24" s="26" t="e">
        <f ca="1"/>
        <v>#NAME?</v>
      </c>
      <c r="C24" s="47" t="e">
        <f ca="1"/>
        <v>#NAME?</v>
      </c>
      <c r="D24" s="62" t="e">
        <f ca="1">_xll.EquityVanillaOption($L$5,$C$2,K24,O24,$C$5,"call")</f>
        <v>#NAME?</v>
      </c>
      <c r="E24" s="54" t="e">
        <f t="shared" ca="1" si="1"/>
        <v>#NAME?</v>
      </c>
      <c r="G24" s="65">
        <v>9.299716198152097E-2</v>
      </c>
      <c r="H24" s="58"/>
      <c r="I24" s="50"/>
      <c r="J24" t="s">
        <v>71</v>
      </c>
      <c r="K24" s="26" t="e">
        <f ca="1">_xll.AddDuration(_xll.MarketRefDate($L$5),J24)</f>
        <v>#NAME?</v>
      </c>
      <c r="L24" s="7" t="s">
        <v>5</v>
      </c>
      <c r="M24" s="27" t="e">
        <f t="shared" ca="1" si="0"/>
        <v>#NAME?</v>
      </c>
      <c r="N24" s="7" t="s">
        <v>37</v>
      </c>
      <c r="O24" s="8">
        <v>1</v>
      </c>
      <c r="Q24" s="9" t="e">
        <f ca="1">_xll.AddDuration(Q23,"3m")</f>
        <v>#NAME?</v>
      </c>
      <c r="R24" s="11">
        <v>1.4999999999999999E-2</v>
      </c>
      <c r="S24" s="11">
        <v>5.0000000000000001E-3</v>
      </c>
      <c r="T24" s="17"/>
      <c r="U24" s="17"/>
      <c r="V24" s="17"/>
      <c r="W24" s="17"/>
      <c r="X24" s="17"/>
      <c r="Y24" s="7"/>
      <c r="Z24" s="7"/>
      <c r="AA24" s="7"/>
      <c r="AB24" s="10"/>
      <c r="AC24" s="7"/>
      <c r="AD24" s="7"/>
      <c r="AE24" s="7"/>
      <c r="AF24" s="8"/>
    </row>
    <row r="25" spans="2:32">
      <c r="B25" s="26" t="e">
        <f ca="1"/>
        <v>#NAME?</v>
      </c>
      <c r="C25" s="47" t="e">
        <f ca="1"/>
        <v>#NAME?</v>
      </c>
      <c r="D25" s="62" t="e">
        <f ca="1">_xll.EquityVanillaOption($L$5,$C$2,K25,O25,$C$5,"call")</f>
        <v>#NAME?</v>
      </c>
      <c r="E25" s="54" t="e">
        <f t="shared" ca="1" si="1"/>
        <v>#NAME?</v>
      </c>
      <c r="G25" s="65">
        <v>9.6394283394279162E-2</v>
      </c>
      <c r="H25" s="58"/>
      <c r="I25" s="50"/>
      <c r="J25" t="s">
        <v>72</v>
      </c>
      <c r="K25" s="26" t="e">
        <f ca="1">_xll.AddDuration(_xll.MarketRefDate($L$5),J25)</f>
        <v>#NAME?</v>
      </c>
      <c r="L25" s="7" t="s">
        <v>5</v>
      </c>
      <c r="M25" s="27" t="e">
        <f t="shared" ca="1" si="0"/>
        <v>#NAME?</v>
      </c>
      <c r="N25" s="7" t="s">
        <v>37</v>
      </c>
      <c r="O25" s="8">
        <v>1</v>
      </c>
      <c r="Q25" s="9" t="e">
        <f ca="1">_xll.AddDuration(Q24,"3m")</f>
        <v>#NAME?</v>
      </c>
      <c r="R25" s="11">
        <v>1.4999999999999999E-2</v>
      </c>
      <c r="S25" s="11">
        <v>5.0000000000000001E-3</v>
      </c>
      <c r="T25" s="17"/>
      <c r="U25" s="17"/>
      <c r="V25" s="17"/>
      <c r="W25" s="17"/>
      <c r="X25" s="17"/>
      <c r="Y25" s="7"/>
      <c r="Z25" s="7"/>
      <c r="AA25" s="7"/>
      <c r="AB25" s="7"/>
      <c r="AC25" s="7"/>
      <c r="AD25" s="7"/>
      <c r="AE25" s="7"/>
      <c r="AF25" s="8"/>
    </row>
    <row r="26" spans="2:32">
      <c r="B26" s="26" t="e">
        <f ca="1"/>
        <v>#NAME?</v>
      </c>
      <c r="C26" s="47" t="e">
        <f ca="1"/>
        <v>#NAME?</v>
      </c>
      <c r="D26" s="62" t="e">
        <f ca="1">_xll.EquityVanillaOption($L$5,$C$2,K26,O26,$C$5,"call")</f>
        <v>#NAME?</v>
      </c>
      <c r="E26" s="54" t="e">
        <f t="shared" ca="1" si="1"/>
        <v>#NAME?</v>
      </c>
      <c r="G26" s="65">
        <v>9.9098201685440257E-2</v>
      </c>
      <c r="H26" s="58"/>
      <c r="I26" s="50"/>
      <c r="J26" t="s">
        <v>41</v>
      </c>
      <c r="K26" s="26" t="e">
        <f ca="1">_xll.AddDuration(_xll.MarketRefDate($L$5),J26)</f>
        <v>#NAME?</v>
      </c>
      <c r="L26" s="7" t="s">
        <v>5</v>
      </c>
      <c r="M26" s="27" t="e">
        <f t="shared" ca="1" si="0"/>
        <v>#NAME?</v>
      </c>
      <c r="N26" s="7" t="s">
        <v>37</v>
      </c>
      <c r="O26" s="8">
        <v>1</v>
      </c>
      <c r="Q26" s="9" t="e">
        <f ca="1">_xll.AddDuration(Q25,"3m")</f>
        <v>#NAME?</v>
      </c>
      <c r="R26" s="11">
        <v>1.4999999999999999E-2</v>
      </c>
      <c r="S26" s="11">
        <v>5.0000000000000001E-3</v>
      </c>
      <c r="T26" s="17"/>
      <c r="U26" s="17"/>
      <c r="V26" s="17"/>
      <c r="W26" s="17"/>
      <c r="X26" s="17"/>
      <c r="Y26" s="7"/>
      <c r="Z26" s="7"/>
      <c r="AA26" s="7"/>
      <c r="AB26" s="7"/>
      <c r="AC26" s="7"/>
      <c r="AD26" s="7"/>
      <c r="AE26" s="7"/>
      <c r="AF26" s="8"/>
    </row>
    <row r="27" spans="2:32">
      <c r="B27" s="59" t="e">
        <f ca="1"/>
        <v>#NAME?</v>
      </c>
      <c r="C27" s="60" t="e">
        <f ca="1"/>
        <v>#NAME?</v>
      </c>
      <c r="D27" s="63" t="e">
        <f ca="1">_xll.EquityVanillaOption($L$5,$C$2,K27,O27,$C$5,"call")</f>
        <v>#NAME?</v>
      </c>
      <c r="E27" s="61" t="e">
        <f t="shared" ca="1" si="1"/>
        <v>#NAME?</v>
      </c>
      <c r="G27" s="65">
        <v>0.10268819039590246</v>
      </c>
      <c r="H27" s="58"/>
      <c r="I27" s="50"/>
      <c r="J27" t="s">
        <v>73</v>
      </c>
      <c r="K27" s="26" t="e">
        <f ca="1">_xll.AddDuration(_xll.MarketRefDate($L$5),J27)</f>
        <v>#NAME?</v>
      </c>
      <c r="L27" s="7" t="s">
        <v>5</v>
      </c>
      <c r="M27" s="27" t="e">
        <f t="shared" ca="1" si="0"/>
        <v>#NAME?</v>
      </c>
      <c r="N27" s="7" t="s">
        <v>37</v>
      </c>
      <c r="O27" s="8">
        <v>1</v>
      </c>
      <c r="Q27" s="9" t="e">
        <f ca="1">_xll.AddDuration(Q26,"3m")</f>
        <v>#NAME?</v>
      </c>
      <c r="R27" s="11">
        <v>1.4999999999999999E-2</v>
      </c>
      <c r="S27" s="11">
        <v>5.0000000000000001E-3</v>
      </c>
      <c r="T27" s="17"/>
      <c r="U27" s="17"/>
      <c r="V27" s="17"/>
      <c r="W27" s="17"/>
      <c r="X27" s="17"/>
      <c r="Y27" s="7"/>
      <c r="Z27" s="7"/>
      <c r="AA27" s="7"/>
      <c r="AB27" s="7"/>
      <c r="AC27" s="7"/>
      <c r="AD27" s="7"/>
      <c r="AE27" s="7"/>
      <c r="AF27" s="8"/>
    </row>
    <row r="28" spans="2:32">
      <c r="B28" s="26" t="e">
        <f ca="1"/>
        <v>#NAME?</v>
      </c>
      <c r="C28" s="47" t="e">
        <f ca="1"/>
        <v>#NAME?</v>
      </c>
      <c r="D28" s="62" t="e">
        <f ca="1">_xll.EquityVanillaOption($L$5,$C$2,K28,O28,$C$5,"call")</f>
        <v>#NAME?</v>
      </c>
      <c r="E28" s="54" t="e">
        <f t="shared" ca="1" si="1"/>
        <v>#NAME?</v>
      </c>
      <c r="G28" s="65">
        <v>0.10503494030506774</v>
      </c>
      <c r="H28" s="58"/>
      <c r="I28" s="50"/>
      <c r="J28" t="s">
        <v>74</v>
      </c>
      <c r="K28" s="26" t="e">
        <f ca="1">_xll.AddDuration(_xll.MarketRefDate($L$5),J28)</f>
        <v>#NAME?</v>
      </c>
      <c r="L28" s="7" t="s">
        <v>5</v>
      </c>
      <c r="M28" s="27" t="e">
        <f t="shared" ca="1" si="0"/>
        <v>#NAME?</v>
      </c>
      <c r="N28" s="7" t="s">
        <v>37</v>
      </c>
      <c r="O28" s="8">
        <v>1</v>
      </c>
      <c r="Q28" s="9" t="e">
        <f ca="1">_xll.AddDuration(Q27,"3m")</f>
        <v>#NAME?</v>
      </c>
      <c r="R28" s="11">
        <v>1.4999999999999999E-2</v>
      </c>
      <c r="S28" s="11">
        <v>5.0000000000000001E-3</v>
      </c>
      <c r="T28" s="17"/>
      <c r="U28" s="17"/>
      <c r="V28" s="17"/>
      <c r="W28" s="17"/>
      <c r="X28" s="17"/>
      <c r="Y28" s="7"/>
      <c r="Z28" s="7"/>
      <c r="AA28" s="7"/>
      <c r="AB28" s="7"/>
      <c r="AC28" s="7"/>
      <c r="AD28" s="7"/>
      <c r="AE28" s="7"/>
      <c r="AF28" s="8"/>
    </row>
    <row r="29" spans="2:32">
      <c r="B29" s="26" t="e">
        <f ca="1"/>
        <v>#NAME?</v>
      </c>
      <c r="C29" s="47" t="e">
        <f ca="1"/>
        <v>#NAME?</v>
      </c>
      <c r="D29" s="62" t="e">
        <f ca="1">_xll.EquityVanillaOption($L$5,$C$2,K29,O29,$C$5,"call")</f>
        <v>#NAME?</v>
      </c>
      <c r="E29" s="54" t="e">
        <f t="shared" ca="1" si="1"/>
        <v>#NAME?</v>
      </c>
      <c r="G29" s="65">
        <v>0.10613065490984967</v>
      </c>
      <c r="H29" s="58"/>
      <c r="I29" s="50"/>
      <c r="J29" t="s">
        <v>75</v>
      </c>
      <c r="K29" s="26" t="e">
        <f ca="1">_xll.AddDuration(_xll.MarketRefDate($L$5),J29)</f>
        <v>#NAME?</v>
      </c>
      <c r="L29" s="7" t="s">
        <v>5</v>
      </c>
      <c r="M29" s="27" t="e">
        <f t="shared" ca="1" si="0"/>
        <v>#NAME?</v>
      </c>
      <c r="N29" s="7" t="s">
        <v>37</v>
      </c>
      <c r="O29" s="8">
        <v>1</v>
      </c>
      <c r="Q29" s="9" t="e">
        <f ca="1">_xll.AddDuration(Q28,"3m")</f>
        <v>#NAME?</v>
      </c>
      <c r="R29" s="11">
        <v>1.4999999999999999E-2</v>
      </c>
      <c r="S29" s="11">
        <v>5.0000000000000001E-3</v>
      </c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</row>
    <row r="30" spans="2:32">
      <c r="B30" s="26" t="e">
        <f ca="1"/>
        <v>#NAME?</v>
      </c>
      <c r="C30" s="47" t="e">
        <f ca="1"/>
        <v>#NAME?</v>
      </c>
      <c r="D30" s="62" t="e">
        <f ca="1">_xll.EquityVanillaOption($L$5,$C$2,K30,O30,$C$5,"call")</f>
        <v>#NAME?</v>
      </c>
      <c r="E30" s="54" t="e">
        <f t="shared" ca="1" si="1"/>
        <v>#NAME?</v>
      </c>
      <c r="G30" s="65">
        <v>0.10663445630896103</v>
      </c>
      <c r="H30" s="58"/>
      <c r="I30" s="50"/>
      <c r="J30" t="s">
        <v>76</v>
      </c>
      <c r="K30" s="26" t="e">
        <f ca="1">_xll.AddDuration(_xll.MarketRefDate($L$5),J30)</f>
        <v>#NAME?</v>
      </c>
      <c r="L30" s="7" t="s">
        <v>5</v>
      </c>
      <c r="M30" s="27" t="e">
        <f t="shared" ca="1" si="0"/>
        <v>#NAME?</v>
      </c>
      <c r="N30" s="7" t="s">
        <v>37</v>
      </c>
      <c r="O30" s="8">
        <v>1</v>
      </c>
      <c r="Q30" s="9" t="e">
        <f ca="1">_xll.AddDuration(Q29,"3m")</f>
        <v>#NAME?</v>
      </c>
      <c r="R30" s="11">
        <v>1.4999999999999999E-2</v>
      </c>
      <c r="S30" s="11">
        <v>5.0000000000000001E-3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</row>
    <row r="31" spans="2:32">
      <c r="B31" s="31" t="e">
        <f ca="1"/>
        <v>#NAME?</v>
      </c>
      <c r="C31" s="48" t="e">
        <f ca="1"/>
        <v>#NAME?</v>
      </c>
      <c r="D31" s="64" t="e">
        <f ca="1">_xll.EquityVanillaOption($L$5,$C$2,K31,O31,$C$5,"call")</f>
        <v>#NAME?</v>
      </c>
      <c r="E31" s="55" t="e">
        <f ca="1">C31-D31</f>
        <v>#NAME?</v>
      </c>
      <c r="G31" s="66">
        <v>0.10586222907726259</v>
      </c>
      <c r="H31" s="58"/>
      <c r="I31" s="50"/>
      <c r="J31" t="s">
        <v>9</v>
      </c>
      <c r="K31" s="26" t="e">
        <f ca="1">_xll.AddDuration(_xll.MarketRefDate($L$5),J31)</f>
        <v>#NAME?</v>
      </c>
      <c r="L31" s="7" t="s">
        <v>5</v>
      </c>
      <c r="M31" s="27" t="e">
        <f t="shared" ca="1" si="0"/>
        <v>#NAME?</v>
      </c>
      <c r="N31" s="7" t="s">
        <v>37</v>
      </c>
      <c r="O31" s="8">
        <v>1</v>
      </c>
      <c r="Q31" s="9" t="e">
        <f ca="1">_xll.AddDuration(Q30,"3m")</f>
        <v>#NAME?</v>
      </c>
      <c r="R31" s="11">
        <v>1.4999999999999999E-2</v>
      </c>
      <c r="S31" s="11">
        <v>5.0000000000000001E-3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</row>
    <row r="32" spans="2:32">
      <c r="K32" s="13"/>
      <c r="L32" s="14"/>
      <c r="M32" s="14"/>
      <c r="N32" s="14"/>
      <c r="O32" s="15"/>
      <c r="Q32" s="9" t="e">
        <f ca="1">_xll.AddDuration(Q31,"3m")</f>
        <v>#NAME?</v>
      </c>
      <c r="R32" s="11">
        <v>1.4999999999999999E-2</v>
      </c>
      <c r="S32" s="11">
        <v>5.0000000000000001E-3</v>
      </c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</row>
    <row r="33" spans="5:32">
      <c r="E33" s="57"/>
      <c r="Q33" s="9" t="e">
        <f ca="1">_xll.AddDuration(Q32,"3m")</f>
        <v>#NAME?</v>
      </c>
      <c r="R33" s="11">
        <v>1.4999999999999999E-2</v>
      </c>
      <c r="S33" s="11">
        <v>5.0000000000000001E-3</v>
      </c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</row>
    <row r="34" spans="5:32">
      <c r="E34" s="50"/>
      <c r="Q34" s="9" t="e">
        <f ca="1">_xll.AddDuration(Q33,"3m")</f>
        <v>#NAME?</v>
      </c>
      <c r="R34" s="11">
        <v>1.4999999999999999E-2</v>
      </c>
      <c r="S34" s="11">
        <v>5.0000000000000001E-3</v>
      </c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</row>
    <row r="35" spans="5:32">
      <c r="Q35" s="9" t="e">
        <f ca="1">_xll.AddDuration(Q34,"3m")</f>
        <v>#NAME?</v>
      </c>
      <c r="R35" s="11">
        <v>1.4999999999999999E-2</v>
      </c>
      <c r="S35" s="11">
        <v>5.0000000000000001E-3</v>
      </c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</row>
    <row r="36" spans="5:32">
      <c r="Q36" s="9" t="e">
        <f ca="1">_xll.AddDuration(Q35,"3m")</f>
        <v>#NAME?</v>
      </c>
      <c r="R36" s="11">
        <v>1.4999999999999999E-2</v>
      </c>
      <c r="S36" s="11">
        <v>5.0000000000000001E-3</v>
      </c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</row>
    <row r="37" spans="5:32">
      <c r="Q37" s="9" t="e">
        <f ca="1">_xll.AddDuration(Q36,"3m")</f>
        <v>#NAME?</v>
      </c>
      <c r="R37" s="11">
        <v>1.4999999999999999E-2</v>
      </c>
      <c r="S37" s="11">
        <v>5.0000000000000001E-3</v>
      </c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</row>
    <row r="38" spans="5:32">
      <c r="Q38" s="9" t="e">
        <f ca="1">_xll.AddDuration(Q37,"3m")</f>
        <v>#NAME?</v>
      </c>
      <c r="R38" s="11">
        <v>1.4999999999999999E-2</v>
      </c>
      <c r="S38" s="11">
        <v>5.0000000000000001E-3</v>
      </c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</row>
    <row r="39" spans="5:32">
      <c r="Q39" s="9" t="e">
        <f ca="1">_xll.AddDuration(Q38,"3m")</f>
        <v>#NAME?</v>
      </c>
      <c r="R39" s="11">
        <v>1.4999999999999999E-2</v>
      </c>
      <c r="S39" s="11">
        <v>5.0000000000000001E-3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</row>
    <row r="40" spans="5:32">
      <c r="Q40" s="9" t="e">
        <f ca="1">_xll.AddDuration(Q39,"3m")</f>
        <v>#NAME?</v>
      </c>
      <c r="R40" s="11">
        <v>1.4999999999999999E-2</v>
      </c>
      <c r="S40" s="11">
        <v>5.0000000000000001E-3</v>
      </c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</row>
    <row r="41" spans="5:32">
      <c r="Q41" s="9" t="e">
        <f ca="1">_xll.AddDuration(Q40,"3m")</f>
        <v>#NAME?</v>
      </c>
      <c r="R41" s="11">
        <v>1.4999999999999999E-2</v>
      </c>
      <c r="S41" s="11">
        <v>5.0000000000000001E-3</v>
      </c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</row>
    <row r="42" spans="5:32">
      <c r="Q42" s="9" t="e">
        <f ca="1">_xll.AddDuration(Q41,"3m")</f>
        <v>#NAME?</v>
      </c>
      <c r="R42" s="11">
        <v>1.4999999999999999E-2</v>
      </c>
      <c r="S42" s="11">
        <v>5.0000000000000001E-3</v>
      </c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</row>
    <row r="43" spans="5:32">
      <c r="Q43" s="9" t="e">
        <f ca="1">_xll.AddDuration(Q42,"3m")</f>
        <v>#NAME?</v>
      </c>
      <c r="R43" s="11">
        <v>1.4999999999999999E-2</v>
      </c>
      <c r="S43" s="11">
        <v>5.0000000000000001E-3</v>
      </c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</row>
    <row r="44" spans="5:32">
      <c r="Q44" s="9" t="e">
        <f ca="1">_xll.AddDuration(Q43,"3m")</f>
        <v>#NAME?</v>
      </c>
      <c r="R44" s="11">
        <v>1.4999999999999999E-2</v>
      </c>
      <c r="S44" s="11">
        <v>5.0000000000000001E-3</v>
      </c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</row>
    <row r="45" spans="5:32">
      <c r="Q45" s="9" t="e">
        <f ca="1">_xll.AddDuration(Q44,"3m")</f>
        <v>#NAME?</v>
      </c>
      <c r="R45" s="11">
        <v>1.4999999999999999E-2</v>
      </c>
      <c r="S45" s="11">
        <v>5.0000000000000001E-3</v>
      </c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</row>
    <row r="46" spans="5:32">
      <c r="Q46" s="13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5"/>
    </row>
  </sheetData>
  <hyperlinks>
    <hyperlink ref="L9" r:id="rId1" display="Stock@FixingDate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Test</vt:lpstr>
      <vt:lpstr>Fwd</vt:lpstr>
      <vt:lpstr>ImpliedVolNoDiv</vt:lpstr>
      <vt:lpstr>DividendFormula</vt:lpstr>
      <vt:lpstr>FlatMkt</vt:lpstr>
      <vt:lpstr>FlatMkt2</vt:lpstr>
      <vt:lpstr>FlatNoDivMkt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2015-10-10T12:59:43Z</dcterms:modified>
</cp:coreProperties>
</file>