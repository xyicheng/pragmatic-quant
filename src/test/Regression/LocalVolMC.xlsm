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240" yWindow="105" windowWidth="19980" windowHeight="7815" activeTab="1"/>
  </bookViews>
  <sheets>
    <sheet name="Test" sheetId="2" r:id="rId1"/>
    <sheet name="Fwd" sheetId="6" r:id="rId2"/>
    <sheet name="ImpliedVolNoDiv" sheetId="8" r:id="rId3"/>
  </sheets>
  <definedNames>
    <definedName name="FlatMkt">Fwd!$N$2:$AC$46</definedName>
    <definedName name="FlatNoDivMkt" localSheetId="2">ImpliedVolNoDiv!$Q$2:$AF$46</definedName>
  </definedNames>
  <calcPr calcId="125725" calcMode="manual" calcCompleted="0" calcOnSave="0"/>
</workbook>
</file>

<file path=xl/calcChain.xml><?xml version="1.0" encoding="utf-8"?>
<calcChain xmlns="http://schemas.openxmlformats.org/spreadsheetml/2006/main">
  <c r="B7" i="6" a="1"/>
  <c r="B7"/>
  <c r="C7"/>
  <c r="B8"/>
  <c r="C8"/>
  <c r="B9"/>
  <c r="C9"/>
  <c r="B10"/>
  <c r="C10"/>
  <c r="B11"/>
  <c r="C11"/>
  <c r="B12"/>
  <c r="C12"/>
  <c r="B13"/>
  <c r="C13"/>
  <c r="B14"/>
  <c r="C14"/>
  <c r="B15"/>
  <c r="C15"/>
  <c r="B16"/>
  <c r="C16"/>
  <c r="B17"/>
  <c r="C17"/>
  <c r="B18"/>
  <c r="C18"/>
  <c r="B19"/>
  <c r="C19"/>
  <c r="B20"/>
  <c r="C20"/>
  <c r="B21"/>
  <c r="C21"/>
  <c r="B22"/>
  <c r="C22"/>
  <c r="B23"/>
  <c r="C23"/>
  <c r="B24"/>
  <c r="C24"/>
  <c r="B25"/>
  <c r="C25"/>
  <c r="B26"/>
  <c r="C26"/>
  <c r="B27"/>
  <c r="C27"/>
  <c r="B28"/>
  <c r="C28"/>
  <c r="B29"/>
  <c r="C29"/>
  <c r="B30"/>
  <c r="C30"/>
  <c r="B7" i="8" a="1"/>
  <c r="B7"/>
  <c r="C7"/>
  <c r="B8"/>
  <c r="C8"/>
  <c r="B9"/>
  <c r="C9"/>
  <c r="B10"/>
  <c r="C10"/>
  <c r="B11"/>
  <c r="C11"/>
  <c r="B12"/>
  <c r="C12"/>
  <c r="B13"/>
  <c r="C13"/>
  <c r="B14"/>
  <c r="C14"/>
  <c r="B15"/>
  <c r="C15"/>
  <c r="B16"/>
  <c r="C16"/>
  <c r="B17"/>
  <c r="C17"/>
  <c r="B18"/>
  <c r="C18"/>
  <c r="B19"/>
  <c r="C19"/>
  <c r="B20"/>
  <c r="C20"/>
  <c r="B21"/>
  <c r="C21"/>
  <c r="B22"/>
  <c r="C22"/>
  <c r="B23"/>
  <c r="C23"/>
  <c r="B24"/>
  <c r="C24"/>
  <c r="B25"/>
  <c r="C25"/>
  <c r="B26"/>
  <c r="C26"/>
  <c r="B27"/>
  <c r="C27"/>
  <c r="B28"/>
  <c r="C28"/>
  <c r="B29"/>
  <c r="C29"/>
  <c r="B30"/>
  <c r="C30"/>
  <c r="P36" i="6"/>
  <c r="P34"/>
  <c r="P33"/>
  <c r="P32"/>
  <c r="P31"/>
  <c r="P28"/>
  <c r="P27"/>
  <c r="P26"/>
  <c r="P24"/>
  <c r="P23"/>
  <c r="P22"/>
  <c r="P21"/>
  <c r="P19"/>
  <c r="P18"/>
  <c r="P17"/>
  <c r="P16"/>
  <c r="P15"/>
  <c r="P14"/>
  <c r="P13"/>
  <c r="P12"/>
  <c r="P11"/>
  <c r="P20"/>
  <c r="P25"/>
  <c r="P29"/>
  <c r="P30"/>
  <c r="P35"/>
  <c r="P37"/>
  <c r="P38"/>
  <c r="P39"/>
  <c r="P40"/>
  <c r="P41"/>
  <c r="P42"/>
  <c r="P43"/>
  <c r="P44"/>
  <c r="P45"/>
  <c r="N13"/>
  <c r="N17"/>
  <c r="N21"/>
  <c r="N25"/>
  <c r="N29"/>
  <c r="N33"/>
  <c r="N37"/>
  <c r="N41"/>
  <c r="N45"/>
  <c r="N12"/>
  <c r="N16"/>
  <c r="N20"/>
  <c r="N24"/>
  <c r="N28"/>
  <c r="N32"/>
  <c r="N36"/>
  <c r="N40"/>
  <c r="N44"/>
  <c r="N11"/>
  <c r="N15"/>
  <c r="N19"/>
  <c r="N23"/>
  <c r="N27"/>
  <c r="N31"/>
  <c r="N35"/>
  <c r="N39"/>
  <c r="N43"/>
  <c r="N14"/>
  <c r="N18"/>
  <c r="N22"/>
  <c r="N26"/>
  <c r="N30"/>
  <c r="N34"/>
  <c r="N38"/>
  <c r="N42"/>
  <c r="K13" i="8"/>
  <c r="K17"/>
  <c r="K21"/>
  <c r="K25"/>
  <c r="K29"/>
  <c r="L4" a="1"/>
  <c r="K12"/>
  <c r="K16"/>
  <c r="K20"/>
  <c r="K24"/>
  <c r="K28"/>
  <c r="Q12"/>
  <c r="K15"/>
  <c r="K19"/>
  <c r="K23"/>
  <c r="K27"/>
  <c r="K11"/>
  <c r="G10" a="1"/>
  <c r="Q11"/>
  <c r="K14"/>
  <c r="K18"/>
  <c r="K22"/>
  <c r="K26"/>
  <c r="K30"/>
  <c r="K10"/>
  <c r="D10" a="1"/>
  <c r="D22" l="1"/>
  <c r="D16"/>
  <c r="D11"/>
  <c r="D27"/>
  <c r="D25"/>
  <c r="D14"/>
  <c r="D24"/>
  <c r="D19"/>
  <c r="D17"/>
  <c r="D26"/>
  <c r="D15"/>
  <c r="D29"/>
  <c r="D18"/>
  <c r="D12"/>
  <c r="D28"/>
  <c r="D23"/>
  <c r="D21"/>
  <c r="D30"/>
  <c r="D10"/>
  <c r="D20"/>
  <c r="D13"/>
  <c r="M10"/>
  <c r="M30"/>
  <c r="M26"/>
  <c r="M22"/>
  <c r="M18"/>
  <c r="M14"/>
  <c r="G12"/>
  <c r="G16"/>
  <c r="G20"/>
  <c r="G24"/>
  <c r="G28"/>
  <c r="G11"/>
  <c r="G15"/>
  <c r="G19"/>
  <c r="G23"/>
  <c r="G27"/>
  <c r="G10"/>
  <c r="G14"/>
  <c r="G18"/>
  <c r="G22"/>
  <c r="G26"/>
  <c r="G30"/>
  <c r="G13"/>
  <c r="G17"/>
  <c r="G21"/>
  <c r="G25"/>
  <c r="G29"/>
  <c r="M11"/>
  <c r="M27"/>
  <c r="M23"/>
  <c r="M19"/>
  <c r="M15"/>
  <c r="M28"/>
  <c r="M24"/>
  <c r="M20"/>
  <c r="M16"/>
  <c r="M12"/>
  <c r="L4"/>
  <c r="M29"/>
  <c r="M25"/>
  <c r="M21"/>
  <c r="M17"/>
  <c r="M13"/>
  <c r="I4" i="6" a="1"/>
  <c r="H18"/>
  <c r="H13"/>
  <c r="H29"/>
  <c r="H24"/>
  <c r="H19"/>
  <c r="H14"/>
  <c r="H30"/>
  <c r="H25"/>
  <c r="H20"/>
  <c r="H15"/>
  <c r="D10" a="1"/>
  <c r="H10"/>
  <c r="H26"/>
  <c r="H21"/>
  <c r="H16"/>
  <c r="H11"/>
  <c r="H27"/>
  <c r="H22"/>
  <c r="H17"/>
  <c r="H12"/>
  <c r="H28"/>
  <c r="H23"/>
  <c r="E24" i="8"/>
  <c r="E22"/>
  <c r="E29"/>
  <c r="E11"/>
  <c r="E18"/>
  <c r="E16"/>
  <c r="E14"/>
  <c r="E21"/>
  <c r="E28"/>
  <c r="E10"/>
  <c r="E25"/>
  <c r="Q13"/>
  <c r="E23"/>
  <c r="E13"/>
  <c r="E20"/>
  <c r="E27"/>
  <c r="E17"/>
  <c r="E15"/>
  <c r="E30"/>
  <c r="E12"/>
  <c r="E19"/>
  <c r="E26"/>
  <c r="I4" i="6" l="1"/>
  <c r="D11"/>
  <c r="D15"/>
  <c r="D19"/>
  <c r="D23"/>
  <c r="D27"/>
  <c r="D10"/>
  <c r="D14"/>
  <c r="D18"/>
  <c r="D22"/>
  <c r="D26"/>
  <c r="D30"/>
  <c r="D13"/>
  <c r="D17"/>
  <c r="D21"/>
  <c r="D25"/>
  <c r="D29"/>
  <c r="D12"/>
  <c r="D16"/>
  <c r="D20"/>
  <c r="D24"/>
  <c r="D28"/>
  <c r="J27"/>
  <c r="J23"/>
  <c r="J19"/>
  <c r="J15"/>
  <c r="J11"/>
  <c r="J28"/>
  <c r="J24"/>
  <c r="J20"/>
  <c r="J16"/>
  <c r="J12"/>
  <c r="J29"/>
  <c r="J25"/>
  <c r="J21"/>
  <c r="J17"/>
  <c r="J13"/>
  <c r="J30"/>
  <c r="J26"/>
  <c r="J22"/>
  <c r="J18"/>
  <c r="J14"/>
  <c r="J10"/>
  <c r="F12" i="8"/>
  <c r="F27"/>
  <c r="Q14"/>
  <c r="F21"/>
  <c r="F11"/>
  <c r="F19"/>
  <c r="F17"/>
  <c r="F23"/>
  <c r="F28"/>
  <c r="F18"/>
  <c r="F24"/>
  <c r="F26"/>
  <c r="F15"/>
  <c r="F13"/>
  <c r="F10"/>
  <c r="F16"/>
  <c r="F22"/>
  <c r="F30"/>
  <c r="F20"/>
  <c r="F25"/>
  <c r="F14"/>
  <c r="F29"/>
  <c r="E11" i="6" l="1"/>
  <c r="E13"/>
  <c r="E15"/>
  <c r="E17"/>
  <c r="E19"/>
  <c r="E21"/>
  <c r="E23"/>
  <c r="E25"/>
  <c r="E27"/>
  <c r="E29"/>
  <c r="E10"/>
  <c r="E12"/>
  <c r="E14"/>
  <c r="E16"/>
  <c r="E18"/>
  <c r="E20"/>
  <c r="E22"/>
  <c r="E24"/>
  <c r="E26"/>
  <c r="E28"/>
  <c r="E30"/>
  <c r="H24" i="8"/>
  <c r="H12"/>
  <c r="H17"/>
  <c r="H22"/>
  <c r="H27"/>
  <c r="H18"/>
  <c r="H25"/>
  <c r="H10"/>
  <c r="H28"/>
  <c r="H21"/>
  <c r="H14"/>
  <c r="H16"/>
  <c r="H11"/>
  <c r="H29"/>
  <c r="H26"/>
  <c r="H19"/>
  <c r="H30"/>
  <c r="H15"/>
  <c r="H20"/>
  <c r="H13"/>
  <c r="H23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</calcChain>
</file>

<file path=xl/sharedStrings.xml><?xml version="1.0" encoding="utf-8"?>
<sst xmlns="http://schemas.openxmlformats.org/spreadsheetml/2006/main" count="232" uniqueCount="77">
  <si>
    <t>RefDate</t>
  </si>
  <si>
    <t>Asset</t>
  </si>
  <si>
    <t>STOXX_5E</t>
  </si>
  <si>
    <t>Spot</t>
  </si>
  <si>
    <t>Currency</t>
  </si>
  <si>
    <t>EUR</t>
  </si>
  <si>
    <t>Repo</t>
  </si>
  <si>
    <t>1y</t>
  </si>
  <si>
    <t>2y</t>
  </si>
  <si>
    <t>5y</t>
  </si>
  <si>
    <t>Dividend.STOXX_5E</t>
  </si>
  <si>
    <t>Cash</t>
  </si>
  <si>
    <t>Yield</t>
  </si>
  <si>
    <t>Discount</t>
  </si>
  <si>
    <t>3y</t>
  </si>
  <si>
    <t>4y</t>
  </si>
  <si>
    <t>Sheet</t>
  </si>
  <si>
    <t>Range</t>
  </si>
  <si>
    <t>Macro</t>
  </si>
  <si>
    <t>RefSheet</t>
  </si>
  <si>
    <t>RefRange</t>
  </si>
  <si>
    <t>Tol</t>
  </si>
  <si>
    <t>SheetCalculate</t>
  </si>
  <si>
    <t>1m</t>
  </si>
  <si>
    <t>3m</t>
  </si>
  <si>
    <t>6m</t>
  </si>
  <si>
    <t>9m</t>
  </si>
  <si>
    <t>EUR.RiskFree</t>
  </si>
  <si>
    <t>USD.RiskFree</t>
  </si>
  <si>
    <t>Vol.STOXX_5E</t>
  </si>
  <si>
    <t>ProductName</t>
  </si>
  <si>
    <t>Stock</t>
  </si>
  <si>
    <t>FixingDate</t>
  </si>
  <si>
    <t>asset(STOXX_5E,EUR)</t>
  </si>
  <si>
    <t>ModelName</t>
  </si>
  <si>
    <t>Algorithm</t>
  </si>
  <si>
    <t>MonteCarlo</t>
  </si>
  <si>
    <t>NbPaths</t>
  </si>
  <si>
    <t>Fwd</t>
  </si>
  <si>
    <t>Time</t>
  </si>
  <si>
    <t>MarketId</t>
  </si>
  <si>
    <t>Strike</t>
  </si>
  <si>
    <t xml:space="preserve">Max(0 , Stock@FixingDate - Strike) </t>
  </si>
  <si>
    <t>Stock@FixingDate</t>
  </si>
  <si>
    <t>ERR</t>
  </si>
  <si>
    <t>FwdLeg</t>
  </si>
  <si>
    <t>FwdCouponScript</t>
  </si>
  <si>
    <t>FwdPayDate</t>
  </si>
  <si>
    <t>ImpliedVolNoDiv</t>
  </si>
  <si>
    <t>LocalVol</t>
  </si>
  <si>
    <t>McStep</t>
  </si>
  <si>
    <t>5d</t>
  </si>
  <si>
    <t>Error</t>
  </si>
  <si>
    <t>2m</t>
  </si>
  <si>
    <t>4m</t>
  </si>
  <si>
    <t>5m</t>
  </si>
  <si>
    <t>7m</t>
  </si>
  <si>
    <t>8m</t>
  </si>
  <si>
    <t>10m</t>
  </si>
  <si>
    <t>11m</t>
  </si>
  <si>
    <t>12m</t>
  </si>
  <si>
    <t>15m</t>
  </si>
  <si>
    <t>18m</t>
  </si>
  <si>
    <t>21m</t>
  </si>
  <si>
    <t>24m</t>
  </si>
  <si>
    <t>30m</t>
  </si>
  <si>
    <t>36m</t>
  </si>
  <si>
    <t>42m</t>
  </si>
  <si>
    <t>48m</t>
  </si>
  <si>
    <t>Ref Fwd</t>
  </si>
  <si>
    <t>C10:C30</t>
  </si>
  <si>
    <t>D10:D30</t>
  </si>
  <si>
    <t>ImpliedVol</t>
  </si>
  <si>
    <t>MktVol</t>
  </si>
  <si>
    <t>F10:F30</t>
  </si>
  <si>
    <t>G10:G30</t>
  </si>
  <si>
    <t>FwdPayCurrency</t>
  </si>
</sst>
</file>

<file path=xl/styles.xml><?xml version="1.0" encoding="utf-8"?>
<styleSheet xmlns="http://schemas.openxmlformats.org/spreadsheetml/2006/main">
  <numFmts count="6">
    <numFmt numFmtId="43" formatCode="_-* #,##0.00\ _€_-;\-* #,##0.00\ _€_-;_-* &quot;-&quot;??\ _€_-;_-@_-"/>
    <numFmt numFmtId="164" formatCode="[$-40C]d\-mmm\-yy;@"/>
    <numFmt numFmtId="165" formatCode="_-* #,##0\ _€_-;\-* #,##0\ _€_-;_-* &quot;-&quot;??\ _€_-;_-@_-"/>
    <numFmt numFmtId="166" formatCode="0.000"/>
    <numFmt numFmtId="167" formatCode="0.000%"/>
    <numFmt numFmtId="168" formatCode="0.0000E+00"/>
  </numFmts>
  <fonts count="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</cellStyleXfs>
  <cellXfs count="47">
    <xf numFmtId="0" fontId="0" fillId="0" borderId="0" xfId="0"/>
    <xf numFmtId="11" fontId="0" fillId="0" borderId="0" xfId="0" applyNumberFormat="1"/>
    <xf numFmtId="0" fontId="0" fillId="2" borderId="1" xfId="0" applyFill="1" applyBorder="1"/>
    <xf numFmtId="14" fontId="0" fillId="2" borderId="2" xfId="0" applyNumberFormat="1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14" fontId="0" fillId="2" borderId="4" xfId="0" applyNumberFormat="1" applyFill="1" applyBorder="1"/>
    <xf numFmtId="10" fontId="0" fillId="2" borderId="0" xfId="0" applyNumberFormat="1" applyFill="1" applyBorder="1"/>
    <xf numFmtId="10" fontId="0" fillId="2" borderId="0" xfId="1" applyNumberFormat="1" applyFont="1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14" fontId="0" fillId="2" borderId="0" xfId="0" applyNumberFormat="1" applyFill="1" applyBorder="1"/>
    <xf numFmtId="9" fontId="0" fillId="2" borderId="0" xfId="0" applyNumberFormat="1" applyFill="1" applyBorder="1"/>
    <xf numFmtId="0" fontId="2" fillId="0" borderId="0" xfId="0" applyFont="1"/>
    <xf numFmtId="0" fontId="2" fillId="2" borderId="1" xfId="0" applyFont="1" applyFill="1" applyBorder="1"/>
    <xf numFmtId="0" fontId="2" fillId="2" borderId="4" xfId="0" applyFont="1" applyFill="1" applyBorder="1"/>
    <xf numFmtId="0" fontId="2" fillId="2" borderId="0" xfId="0" applyFont="1" applyFill="1" applyBorder="1"/>
    <xf numFmtId="164" fontId="0" fillId="2" borderId="4" xfId="0" applyNumberFormat="1" applyFill="1" applyBorder="1"/>
    <xf numFmtId="164" fontId="0" fillId="2" borderId="0" xfId="0" applyNumberFormat="1" applyFill="1" applyBorder="1"/>
    <xf numFmtId="0" fontId="2" fillId="2" borderId="5" xfId="0" applyFont="1" applyFill="1" applyBorder="1"/>
    <xf numFmtId="165" fontId="0" fillId="2" borderId="5" xfId="2" applyNumberFormat="1" applyFont="1" applyFill="1" applyBorder="1"/>
    <xf numFmtId="164" fontId="0" fillId="2" borderId="6" xfId="0" applyNumberFormat="1" applyFill="1" applyBorder="1"/>
    <xf numFmtId="10" fontId="0" fillId="2" borderId="3" xfId="1" applyNumberFormat="1" applyFont="1" applyFill="1" applyBorder="1"/>
    <xf numFmtId="0" fontId="3" fillId="2" borderId="0" xfId="3" applyFill="1" applyBorder="1" applyAlignment="1" applyProtection="1"/>
    <xf numFmtId="0" fontId="2" fillId="0" borderId="1" xfId="0" applyFont="1" applyBorder="1"/>
    <xf numFmtId="166" fontId="0" fillId="2" borderId="0" xfId="0" applyNumberFormat="1" applyFill="1" applyBorder="1"/>
    <xf numFmtId="0" fontId="2" fillId="2" borderId="6" xfId="0" applyFont="1" applyFill="1" applyBorder="1"/>
    <xf numFmtId="0" fontId="2" fillId="2" borderId="8" xfId="0" applyFont="1" applyFill="1" applyBorder="1"/>
    <xf numFmtId="10" fontId="0" fillId="0" borderId="0" xfId="0" applyNumberFormat="1"/>
    <xf numFmtId="167" fontId="0" fillId="0" borderId="0" xfId="0" applyNumberFormat="1"/>
    <xf numFmtId="167" fontId="0" fillId="2" borderId="5" xfId="1" applyNumberFormat="1" applyFont="1" applyFill="1" applyBorder="1"/>
    <xf numFmtId="167" fontId="0" fillId="2" borderId="8" xfId="1" applyNumberFormat="1" applyFont="1" applyFill="1" applyBorder="1"/>
    <xf numFmtId="167" fontId="0" fillId="2" borderId="10" xfId="1" applyNumberFormat="1" applyFont="1" applyFill="1" applyBorder="1"/>
    <xf numFmtId="167" fontId="0" fillId="2" borderId="4" xfId="1" applyNumberFormat="1" applyFont="1" applyFill="1" applyBorder="1"/>
    <xf numFmtId="0" fontId="2" fillId="2" borderId="3" xfId="0" applyFont="1" applyFill="1" applyBorder="1"/>
    <xf numFmtId="168" fontId="0" fillId="2" borderId="5" xfId="0" applyNumberFormat="1" applyFill="1" applyBorder="1"/>
    <xf numFmtId="167" fontId="0" fillId="2" borderId="0" xfId="1" applyNumberFormat="1" applyFont="1" applyFill="1" applyBorder="1"/>
    <xf numFmtId="43" fontId="0" fillId="2" borderId="0" xfId="2" applyFont="1" applyFill="1" applyBorder="1"/>
    <xf numFmtId="0" fontId="2" fillId="2" borderId="2" xfId="0" applyFont="1" applyFill="1" applyBorder="1"/>
    <xf numFmtId="0" fontId="2" fillId="2" borderId="9" xfId="0" applyFont="1" applyFill="1" applyBorder="1"/>
    <xf numFmtId="167" fontId="0" fillId="2" borderId="11" xfId="1" applyNumberFormat="1" applyFont="1" applyFill="1" applyBorder="1"/>
    <xf numFmtId="167" fontId="0" fillId="2" borderId="7" xfId="1" applyNumberFormat="1" applyFont="1" applyFill="1" applyBorder="1"/>
    <xf numFmtId="43" fontId="0" fillId="2" borderId="7" xfId="2" applyFont="1" applyFill="1" applyBorder="1"/>
  </cellXfs>
  <cellStyles count="4">
    <cellStyle name="Lien hypertexte" xfId="3" builtinId="8"/>
    <cellStyle name="Milliers" xfId="2" builtinId="3"/>
    <cellStyle name="Normal" xfId="0" builtinId="0"/>
    <cellStyle name="Pourcentage" xfId="1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mailto:Stock@FixingDate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mailto:Stock@FixingDat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F3"/>
  <sheetViews>
    <sheetView workbookViewId="0">
      <selection activeCell="B5" sqref="B5"/>
    </sheetView>
  </sheetViews>
  <sheetFormatPr baseColWidth="10" defaultRowHeight="15"/>
  <cols>
    <col min="2" max="2" width="14.28515625" bestFit="1" customWidth="1"/>
    <col min="4" max="4" width="18" bestFit="1" customWidth="1"/>
    <col min="5" max="5" width="9.42578125" bestFit="1" customWidth="1"/>
  </cols>
  <sheetData>
    <row r="1" spans="1:6">
      <c r="A1" t="s">
        <v>16</v>
      </c>
      <c r="B1" t="s">
        <v>18</v>
      </c>
      <c r="C1" t="s">
        <v>17</v>
      </c>
      <c r="D1" t="s">
        <v>19</v>
      </c>
      <c r="E1" t="s">
        <v>20</v>
      </c>
      <c r="F1" t="s">
        <v>21</v>
      </c>
    </row>
    <row r="2" spans="1:6">
      <c r="A2" t="s">
        <v>38</v>
      </c>
      <c r="B2" t="s">
        <v>22</v>
      </c>
      <c r="C2" t="s">
        <v>70</v>
      </c>
      <c r="D2" t="s">
        <v>38</v>
      </c>
      <c r="E2" t="s">
        <v>71</v>
      </c>
      <c r="F2" s="1">
        <v>8.2999999999999998E-5</v>
      </c>
    </row>
    <row r="3" spans="1:6">
      <c r="A3" t="s">
        <v>48</v>
      </c>
      <c r="B3" t="s">
        <v>22</v>
      </c>
      <c r="C3" t="s">
        <v>74</v>
      </c>
      <c r="D3" t="s">
        <v>48</v>
      </c>
      <c r="E3" t="s">
        <v>75</v>
      </c>
      <c r="F3" s="32">
        <v>2.9999999999999997E-4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AC46"/>
  <sheetViews>
    <sheetView tabSelected="1" topLeftCell="A2" workbookViewId="0">
      <selection activeCell="D6" sqref="D6"/>
    </sheetView>
  </sheetViews>
  <sheetFormatPr baseColWidth="10" defaultRowHeight="15"/>
  <cols>
    <col min="2" max="2" width="13.140625" style="1" bestFit="1" customWidth="1"/>
    <col min="3" max="4" width="13.140625" bestFit="1" customWidth="1"/>
    <col min="8" max="8" width="18.42578125" bestFit="1" customWidth="1"/>
    <col min="9" max="9" width="13.5703125" customWidth="1"/>
    <col min="11" max="11" width="19.85546875" bestFit="1" customWidth="1"/>
    <col min="14" max="14" width="12.140625" bestFit="1" customWidth="1"/>
    <col min="15" max="15" width="12.28515625" bestFit="1" customWidth="1"/>
    <col min="16" max="16" width="12.5703125" bestFit="1" customWidth="1"/>
    <col min="17" max="17" width="12.7109375" bestFit="1" customWidth="1"/>
    <col min="19" max="19" width="12.5703125" bestFit="1" customWidth="1"/>
    <col min="20" max="20" width="12.7109375" bestFit="1" customWidth="1"/>
    <col min="21" max="21" width="13.28515625" bestFit="1" customWidth="1"/>
  </cols>
  <sheetData>
    <row r="1" spans="1:29">
      <c r="B1" s="18" t="s">
        <v>34</v>
      </c>
      <c r="C1" s="5" t="s">
        <v>49</v>
      </c>
      <c r="E1" s="18" t="s">
        <v>35</v>
      </c>
      <c r="F1" s="5" t="s">
        <v>36</v>
      </c>
    </row>
    <row r="2" spans="1:29">
      <c r="B2" s="19" t="s">
        <v>1</v>
      </c>
      <c r="C2" s="8" t="s">
        <v>2</v>
      </c>
      <c r="E2" s="19" t="s">
        <v>37</v>
      </c>
      <c r="F2" s="24">
        <v>50000</v>
      </c>
      <c r="N2" s="2" t="s">
        <v>0</v>
      </c>
      <c r="O2" s="3">
        <v>42057</v>
      </c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5"/>
    </row>
    <row r="3" spans="1:29">
      <c r="B3" s="6"/>
      <c r="C3" s="8"/>
      <c r="E3" s="19" t="s">
        <v>50</v>
      </c>
      <c r="F3" s="8" t="s">
        <v>51</v>
      </c>
      <c r="N3" s="6"/>
      <c r="O3" s="15"/>
      <c r="P3" s="7"/>
      <c r="Q3" s="7"/>
      <c r="R3" s="7" t="s">
        <v>13</v>
      </c>
      <c r="S3" s="7" t="s">
        <v>27</v>
      </c>
      <c r="T3" s="7" t="s">
        <v>28</v>
      </c>
      <c r="U3" s="7"/>
      <c r="V3" s="7"/>
      <c r="W3" s="7"/>
      <c r="X3" s="7"/>
      <c r="Y3" s="7"/>
      <c r="Z3" s="7"/>
      <c r="AA3" s="7"/>
      <c r="AB3" s="7"/>
      <c r="AC3" s="8"/>
    </row>
    <row r="4" spans="1:29">
      <c r="B4" s="30"/>
      <c r="C4" s="31"/>
      <c r="E4" s="30"/>
      <c r="F4" s="14"/>
      <c r="H4" s="17" t="s">
        <v>40</v>
      </c>
      <c r="I4" t="e">
        <f t="array" aca="1" ref="I4" ca="1">IF(_xll.SetMarket("mkt",FlatMkt), "mkt", "FAILED")</f>
        <v>#NAME?</v>
      </c>
      <c r="N4" s="6" t="s">
        <v>1</v>
      </c>
      <c r="O4" s="7" t="s">
        <v>3</v>
      </c>
      <c r="P4" s="7" t="s">
        <v>4</v>
      </c>
      <c r="Q4" s="7"/>
      <c r="R4" s="7" t="s">
        <v>7</v>
      </c>
      <c r="S4" s="11">
        <v>1</v>
      </c>
      <c r="T4" s="11">
        <v>1</v>
      </c>
      <c r="U4" s="7"/>
      <c r="V4" s="11"/>
      <c r="W4" s="11"/>
      <c r="X4" s="7"/>
      <c r="Y4" s="7"/>
      <c r="Z4" s="7"/>
      <c r="AA4" s="7"/>
      <c r="AB4" s="7"/>
      <c r="AC4" s="8"/>
    </row>
    <row r="5" spans="1:29">
      <c r="N5" s="6" t="s">
        <v>2</v>
      </c>
      <c r="O5" s="7">
        <v>1</v>
      </c>
      <c r="P5" s="7" t="s">
        <v>5</v>
      </c>
      <c r="Q5" s="7"/>
      <c r="R5" s="7" t="s">
        <v>8</v>
      </c>
      <c r="S5" s="11">
        <v>1</v>
      </c>
      <c r="T5" s="11">
        <v>1</v>
      </c>
      <c r="U5" s="7"/>
      <c r="V5" s="11"/>
      <c r="W5" s="11"/>
      <c r="X5" s="7"/>
      <c r="Y5" s="7"/>
      <c r="Z5" s="7"/>
      <c r="AA5" s="7"/>
      <c r="AB5" s="7"/>
      <c r="AC5" s="8"/>
    </row>
    <row r="6" spans="1:29">
      <c r="H6" s="18" t="s">
        <v>30</v>
      </c>
      <c r="I6" s="4" t="s">
        <v>45</v>
      </c>
      <c r="J6" s="4"/>
      <c r="K6" s="4"/>
      <c r="L6" s="5"/>
      <c r="N6" s="6"/>
      <c r="O6" s="7"/>
      <c r="P6" s="7"/>
      <c r="Q6" s="7"/>
      <c r="R6" s="7" t="s">
        <v>14</v>
      </c>
      <c r="S6" s="11">
        <v>1</v>
      </c>
      <c r="T6" s="11">
        <v>1</v>
      </c>
      <c r="U6" s="7"/>
      <c r="V6" s="11"/>
      <c r="W6" s="11"/>
      <c r="X6" s="7"/>
      <c r="Y6" s="7"/>
      <c r="Z6" s="7"/>
      <c r="AA6" s="7"/>
      <c r="AB6" s="7"/>
      <c r="AC6" s="8"/>
    </row>
    <row r="7" spans="1:29">
      <c r="B7" s="2" t="e">
        <f t="array" aca="1" ref="B7:C30" ca="1">McPrice("price",H6:L31,$I$4,B1:C4,E1:F4)</f>
        <v>#NAME?</v>
      </c>
      <c r="C7" s="26" t="e">
        <f ca="1"/>
        <v>#NAME?</v>
      </c>
      <c r="H7" s="6"/>
      <c r="I7" s="7"/>
      <c r="J7" s="7"/>
      <c r="K7" s="7"/>
      <c r="L7" s="8"/>
      <c r="N7" s="6"/>
      <c r="O7" s="7"/>
      <c r="P7" s="7"/>
      <c r="Q7" s="7"/>
      <c r="R7" s="7" t="s">
        <v>15</v>
      </c>
      <c r="S7" s="11">
        <v>1</v>
      </c>
      <c r="T7" s="11">
        <v>1</v>
      </c>
      <c r="U7" s="7"/>
      <c r="V7" s="11"/>
      <c r="W7" s="11"/>
      <c r="X7" s="7"/>
      <c r="Y7" s="7"/>
      <c r="Z7" s="7"/>
      <c r="AA7" s="7"/>
      <c r="AB7" s="7"/>
      <c r="AC7" s="8"/>
    </row>
    <row r="8" spans="1:29">
      <c r="B8" s="6" t="e">
        <f ca="1"/>
        <v>#NAME?</v>
      </c>
      <c r="C8" s="8" t="e">
        <f ca="1"/>
        <v>#NAME?</v>
      </c>
      <c r="H8" s="19" t="s">
        <v>46</v>
      </c>
      <c r="I8" s="27" t="s">
        <v>43</v>
      </c>
      <c r="J8" s="7"/>
      <c r="K8" s="7"/>
      <c r="L8" s="8"/>
      <c r="N8" s="6"/>
      <c r="O8" s="7"/>
      <c r="P8" s="7"/>
      <c r="Q8" s="7"/>
      <c r="R8" s="7" t="s">
        <v>9</v>
      </c>
      <c r="S8" s="11">
        <v>1</v>
      </c>
      <c r="T8" s="11">
        <v>1</v>
      </c>
      <c r="U8" s="7"/>
      <c r="V8" s="11"/>
      <c r="W8" s="11"/>
      <c r="X8" s="7"/>
      <c r="Y8" s="7"/>
      <c r="Z8" s="7"/>
      <c r="AA8" s="7"/>
      <c r="AB8" s="7"/>
      <c r="AC8" s="8"/>
    </row>
    <row r="9" spans="1:29">
      <c r="B9" s="6" t="e">
        <f ca="1"/>
        <v>#NAME?</v>
      </c>
      <c r="C9" s="8" t="e">
        <f ca="1"/>
        <v>#NAME?</v>
      </c>
      <c r="D9" s="28" t="s">
        <v>69</v>
      </c>
      <c r="E9" s="38" t="s">
        <v>52</v>
      </c>
      <c r="H9" s="19" t="s">
        <v>47</v>
      </c>
      <c r="I9" s="20" t="s">
        <v>76</v>
      </c>
      <c r="J9" s="20" t="s">
        <v>32</v>
      </c>
      <c r="K9" s="20" t="s">
        <v>31</v>
      </c>
      <c r="L9" s="23"/>
      <c r="N9" s="6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8"/>
    </row>
    <row r="10" spans="1:29">
      <c r="A10" s="33"/>
      <c r="B10" s="21" t="e">
        <f ca="1"/>
        <v>#NAME?</v>
      </c>
      <c r="C10" s="34" t="e">
        <f ca="1"/>
        <v>#NAME?</v>
      </c>
      <c r="D10" s="37" t="e">
        <f t="array" aca="1" ref="D10:D30" ca="1">_xll.AssetForward($I$4,H10:H30,"STOXX_5E")</f>
        <v>#NAME?</v>
      </c>
      <c r="E10" s="39" t="e">
        <f t="shared" ref="E10:E30" ca="1" si="0">C10-D10</f>
        <v>#NAME?</v>
      </c>
      <c r="G10" t="s">
        <v>23</v>
      </c>
      <c r="H10" s="21" t="e">
        <f ca="1">_xll.AddDuration(_xll.MarketRefDate($I$4),G10)</f>
        <v>#NAME?</v>
      </c>
      <c r="I10" s="7" t="s">
        <v>5</v>
      </c>
      <c r="J10" s="22" t="e">
        <f t="shared" ref="J10:J30" ca="1" si="1">H10</f>
        <v>#NAME?</v>
      </c>
      <c r="K10" s="7" t="s">
        <v>33</v>
      </c>
      <c r="L10" s="8"/>
      <c r="N10" s="6" t="s">
        <v>10</v>
      </c>
      <c r="O10" s="7" t="s">
        <v>11</v>
      </c>
      <c r="P10" s="7" t="s">
        <v>12</v>
      </c>
      <c r="Q10" s="7"/>
      <c r="R10" s="7" t="s">
        <v>6</v>
      </c>
      <c r="S10" s="7" t="s">
        <v>2</v>
      </c>
      <c r="T10" s="7"/>
      <c r="U10" s="7" t="s">
        <v>29</v>
      </c>
      <c r="V10" s="29">
        <v>0.60653065971263342</v>
      </c>
      <c r="W10" s="29">
        <v>0.74081822068171788</v>
      </c>
      <c r="X10" s="29">
        <v>0.90483741803595952</v>
      </c>
      <c r="Y10" s="29">
        <v>1</v>
      </c>
      <c r="Z10" s="29">
        <v>1.1051709180756477</v>
      </c>
      <c r="AA10" s="29">
        <v>1.3498588075760032</v>
      </c>
      <c r="AB10" s="29">
        <v>1.6487212707001282</v>
      </c>
      <c r="AC10" s="8"/>
    </row>
    <row r="11" spans="1:29">
      <c r="B11" s="21" t="e">
        <f ca="1"/>
        <v>#NAME?</v>
      </c>
      <c r="C11" s="34" t="e">
        <f ca="1"/>
        <v>#NAME?</v>
      </c>
      <c r="D11" s="37" t="e">
        <f ca="1"/>
        <v>#NAME?</v>
      </c>
      <c r="E11" s="39" t="e">
        <f t="shared" ca="1" si="0"/>
        <v>#NAME?</v>
      </c>
      <c r="G11" t="s">
        <v>53</v>
      </c>
      <c r="H11" s="21" t="e">
        <f ca="1">_xll.AddDuration(_xll.MarketRefDate($I$4),G11)</f>
        <v>#NAME?</v>
      </c>
      <c r="I11" s="7" t="s">
        <v>5</v>
      </c>
      <c r="J11" s="22" t="e">
        <f t="shared" ca="1" si="1"/>
        <v>#NAME?</v>
      </c>
      <c r="K11" s="7" t="s">
        <v>33</v>
      </c>
      <c r="L11" s="8"/>
      <c r="N11" s="9" t="e">
        <f ca="1">_xll.AddDuration($O$2,"3m")</f>
        <v>#NAME?</v>
      </c>
      <c r="O11" s="11">
        <v>1.4999999999999999E-2</v>
      </c>
      <c r="P11" s="11">
        <f t="shared" ref="P11:P19" ca="1" si="2">1.5%-O11</f>
        <v>0</v>
      </c>
      <c r="Q11" s="7"/>
      <c r="R11" s="7" t="s">
        <v>7</v>
      </c>
      <c r="S11" s="10">
        <v>0</v>
      </c>
      <c r="T11" s="7"/>
      <c r="U11" s="15">
        <v>42085</v>
      </c>
      <c r="V11" s="16">
        <v>0.23</v>
      </c>
      <c r="W11" s="16">
        <v>0.23</v>
      </c>
      <c r="X11" s="16">
        <v>0.23</v>
      </c>
      <c r="Y11" s="16">
        <v>0.23</v>
      </c>
      <c r="Z11" s="16">
        <v>0.23</v>
      </c>
      <c r="AA11" s="16">
        <v>0.23</v>
      </c>
      <c r="AB11" s="16">
        <v>0.23</v>
      </c>
      <c r="AC11" s="8"/>
    </row>
    <row r="12" spans="1:29">
      <c r="B12" s="21" t="e">
        <f ca="1"/>
        <v>#NAME?</v>
      </c>
      <c r="C12" s="34" t="e">
        <f ca="1"/>
        <v>#NAME?</v>
      </c>
      <c r="D12" s="37" t="e">
        <f ca="1"/>
        <v>#NAME?</v>
      </c>
      <c r="E12" s="39" t="e">
        <f t="shared" ca="1" si="0"/>
        <v>#NAME?</v>
      </c>
      <c r="G12" t="s">
        <v>24</v>
      </c>
      <c r="H12" s="21" t="e">
        <f ca="1">_xll.AddDuration(_xll.MarketRefDate($I$4),G12)</f>
        <v>#NAME?</v>
      </c>
      <c r="I12" s="7" t="s">
        <v>5</v>
      </c>
      <c r="J12" s="22" t="e">
        <f t="shared" ca="1" si="1"/>
        <v>#NAME?</v>
      </c>
      <c r="K12" s="7" t="s">
        <v>33</v>
      </c>
      <c r="L12" s="8"/>
      <c r="N12" s="9" t="e">
        <f ca="1">_xll.AddDuration(N11,"3m")</f>
        <v>#NAME?</v>
      </c>
      <c r="O12" s="11">
        <v>1.4999999999999999E-2</v>
      </c>
      <c r="P12" s="11">
        <f t="shared" ca="1" si="2"/>
        <v>0</v>
      </c>
      <c r="Q12" s="7"/>
      <c r="R12" s="7" t="s">
        <v>8</v>
      </c>
      <c r="S12" s="10">
        <v>0</v>
      </c>
      <c r="T12" s="7"/>
      <c r="U12" s="15">
        <v>42146</v>
      </c>
      <c r="V12" s="16">
        <v>0.23</v>
      </c>
      <c r="W12" s="16">
        <v>0.23</v>
      </c>
      <c r="X12" s="16">
        <v>0.23</v>
      </c>
      <c r="Y12" s="16">
        <v>0.23</v>
      </c>
      <c r="Z12" s="16">
        <v>0.23</v>
      </c>
      <c r="AA12" s="16">
        <v>0.23</v>
      </c>
      <c r="AB12" s="16">
        <v>0.23</v>
      </c>
      <c r="AC12" s="8"/>
    </row>
    <row r="13" spans="1:29">
      <c r="B13" s="21" t="e">
        <f ca="1"/>
        <v>#NAME?</v>
      </c>
      <c r="C13" s="34" t="e">
        <f ca="1"/>
        <v>#NAME?</v>
      </c>
      <c r="D13" s="37" t="e">
        <f ca="1"/>
        <v>#NAME?</v>
      </c>
      <c r="E13" s="39" t="e">
        <f t="shared" ca="1" si="0"/>
        <v>#NAME?</v>
      </c>
      <c r="G13" t="s">
        <v>54</v>
      </c>
      <c r="H13" s="21" t="e">
        <f ca="1">_xll.AddDuration(_xll.MarketRefDate($I$4),G13)</f>
        <v>#NAME?</v>
      </c>
      <c r="I13" s="7" t="s">
        <v>5</v>
      </c>
      <c r="J13" s="22" t="e">
        <f t="shared" ca="1" si="1"/>
        <v>#NAME?</v>
      </c>
      <c r="K13" s="7" t="s">
        <v>33</v>
      </c>
      <c r="L13" s="8"/>
      <c r="N13" s="9" t="e">
        <f ca="1">_xll.AddDuration(N12,"3m")</f>
        <v>#NAME?</v>
      </c>
      <c r="O13" s="11">
        <v>1.4999999999999999E-2</v>
      </c>
      <c r="P13" s="11">
        <f t="shared" ca="1" si="2"/>
        <v>0</v>
      </c>
      <c r="Q13" s="7"/>
      <c r="R13" s="7" t="s">
        <v>9</v>
      </c>
      <c r="S13" s="10">
        <v>0</v>
      </c>
      <c r="T13" s="7"/>
      <c r="U13" s="15">
        <v>42238</v>
      </c>
      <c r="V13" s="16">
        <v>0.23</v>
      </c>
      <c r="W13" s="16">
        <v>0.23</v>
      </c>
      <c r="X13" s="16">
        <v>0.23</v>
      </c>
      <c r="Y13" s="16">
        <v>0.23</v>
      </c>
      <c r="Z13" s="16">
        <v>0.23</v>
      </c>
      <c r="AA13" s="16">
        <v>0.23</v>
      </c>
      <c r="AB13" s="16">
        <v>0.23</v>
      </c>
      <c r="AC13" s="8"/>
    </row>
    <row r="14" spans="1:29">
      <c r="B14" s="21" t="e">
        <f ca="1"/>
        <v>#NAME?</v>
      </c>
      <c r="C14" s="34" t="e">
        <f ca="1"/>
        <v>#NAME?</v>
      </c>
      <c r="D14" s="37" t="e">
        <f ca="1"/>
        <v>#NAME?</v>
      </c>
      <c r="E14" s="39" t="e">
        <f t="shared" ca="1" si="0"/>
        <v>#NAME?</v>
      </c>
      <c r="G14" t="s">
        <v>55</v>
      </c>
      <c r="H14" s="21" t="e">
        <f ca="1">_xll.AddDuration(_xll.MarketRefDate($I$4),G14)</f>
        <v>#NAME?</v>
      </c>
      <c r="I14" s="7" t="s">
        <v>5</v>
      </c>
      <c r="J14" s="22" t="e">
        <f t="shared" ca="1" si="1"/>
        <v>#NAME?</v>
      </c>
      <c r="K14" s="7" t="s">
        <v>33</v>
      </c>
      <c r="L14" s="8"/>
      <c r="N14" s="9" t="e">
        <f ca="1">_xll.AddDuration(N13,"3m")</f>
        <v>#NAME?</v>
      </c>
      <c r="O14" s="11">
        <v>1.4999999999999999E-2</v>
      </c>
      <c r="P14" s="11">
        <f t="shared" ca="1" si="2"/>
        <v>0</v>
      </c>
      <c r="Q14" s="7"/>
      <c r="R14" s="7"/>
      <c r="S14" s="7"/>
      <c r="T14" s="7"/>
      <c r="U14" s="15">
        <v>42360</v>
      </c>
      <c r="V14" s="16">
        <v>0.23</v>
      </c>
      <c r="W14" s="16">
        <v>0.23</v>
      </c>
      <c r="X14" s="16">
        <v>0.23</v>
      </c>
      <c r="Y14" s="16">
        <v>0.23</v>
      </c>
      <c r="Z14" s="16">
        <v>0.23</v>
      </c>
      <c r="AA14" s="16">
        <v>0.23</v>
      </c>
      <c r="AB14" s="16">
        <v>0.23</v>
      </c>
      <c r="AC14" s="8"/>
    </row>
    <row r="15" spans="1:29">
      <c r="B15" s="21" t="e">
        <f ca="1"/>
        <v>#NAME?</v>
      </c>
      <c r="C15" s="34" t="e">
        <f ca="1"/>
        <v>#NAME?</v>
      </c>
      <c r="D15" s="37" t="e">
        <f ca="1"/>
        <v>#NAME?</v>
      </c>
      <c r="E15" s="39" t="e">
        <f t="shared" ca="1" si="0"/>
        <v>#NAME?</v>
      </c>
      <c r="G15" t="s">
        <v>25</v>
      </c>
      <c r="H15" s="21" t="e">
        <f ca="1">_xll.AddDuration(_xll.MarketRefDate($I$4),G15)</f>
        <v>#NAME?</v>
      </c>
      <c r="I15" s="7" t="s">
        <v>5</v>
      </c>
      <c r="J15" s="22" t="e">
        <f t="shared" ca="1" si="1"/>
        <v>#NAME?</v>
      </c>
      <c r="K15" s="7" t="s">
        <v>33</v>
      </c>
      <c r="L15" s="8"/>
      <c r="N15" s="9" t="e">
        <f ca="1">_xll.AddDuration(N14,"3m")</f>
        <v>#NAME?</v>
      </c>
      <c r="O15" s="11">
        <v>0.01</v>
      </c>
      <c r="P15" s="11">
        <f t="shared" ca="1" si="2"/>
        <v>4.9999999999999992E-3</v>
      </c>
      <c r="Q15" s="7"/>
      <c r="R15" s="7"/>
      <c r="S15" s="7"/>
      <c r="T15" s="7"/>
      <c r="U15" s="15">
        <v>42422</v>
      </c>
      <c r="V15" s="16">
        <v>0.23</v>
      </c>
      <c r="W15" s="16">
        <v>0.23</v>
      </c>
      <c r="X15" s="16">
        <v>0.23</v>
      </c>
      <c r="Y15" s="16">
        <v>0.23</v>
      </c>
      <c r="Z15" s="16">
        <v>0.23</v>
      </c>
      <c r="AA15" s="16">
        <v>0.23</v>
      </c>
      <c r="AB15" s="16">
        <v>0.23</v>
      </c>
      <c r="AC15" s="8"/>
    </row>
    <row r="16" spans="1:29">
      <c r="B16" s="21" t="e">
        <f ca="1"/>
        <v>#NAME?</v>
      </c>
      <c r="C16" s="34" t="e">
        <f ca="1"/>
        <v>#NAME?</v>
      </c>
      <c r="D16" s="37" t="e">
        <f ca="1"/>
        <v>#NAME?</v>
      </c>
      <c r="E16" s="39" t="e">
        <f t="shared" ca="1" si="0"/>
        <v>#NAME?</v>
      </c>
      <c r="G16" t="s">
        <v>56</v>
      </c>
      <c r="H16" s="21" t="e">
        <f ca="1">_xll.AddDuration(_xll.MarketRefDate($I$4),G16)</f>
        <v>#NAME?</v>
      </c>
      <c r="I16" s="7" t="s">
        <v>5</v>
      </c>
      <c r="J16" s="22" t="e">
        <f t="shared" ca="1" si="1"/>
        <v>#NAME?</v>
      </c>
      <c r="K16" s="7" t="s">
        <v>33</v>
      </c>
      <c r="L16" s="8"/>
      <c r="N16" s="9" t="e">
        <f ca="1">_xll.AddDuration(N15,"3m")</f>
        <v>#NAME?</v>
      </c>
      <c r="O16" s="11">
        <v>0.01</v>
      </c>
      <c r="P16" s="11">
        <f t="shared" ca="1" si="2"/>
        <v>4.9999999999999992E-3</v>
      </c>
      <c r="Q16" s="7"/>
      <c r="R16" s="7"/>
      <c r="S16" s="7"/>
      <c r="T16" s="7"/>
      <c r="U16" s="15">
        <v>42816</v>
      </c>
      <c r="V16" s="16">
        <v>0.23</v>
      </c>
      <c r="W16" s="16">
        <v>0.23</v>
      </c>
      <c r="X16" s="16">
        <v>0.23</v>
      </c>
      <c r="Y16" s="16">
        <v>0.23</v>
      </c>
      <c r="Z16" s="16">
        <v>0.23</v>
      </c>
      <c r="AA16" s="16">
        <v>0.23</v>
      </c>
      <c r="AB16" s="16">
        <v>0.23</v>
      </c>
      <c r="AC16" s="8"/>
    </row>
    <row r="17" spans="2:29">
      <c r="B17" s="21" t="e">
        <f ca="1"/>
        <v>#NAME?</v>
      </c>
      <c r="C17" s="34" t="e">
        <f ca="1"/>
        <v>#NAME?</v>
      </c>
      <c r="D17" s="37" t="e">
        <f ca="1"/>
        <v>#NAME?</v>
      </c>
      <c r="E17" s="39" t="e">
        <f t="shared" ca="1" si="0"/>
        <v>#NAME?</v>
      </c>
      <c r="G17" t="s">
        <v>57</v>
      </c>
      <c r="H17" s="21" t="e">
        <f ca="1">_xll.AddDuration(_xll.MarketRefDate($I$4),G17)</f>
        <v>#NAME?</v>
      </c>
      <c r="I17" s="7" t="s">
        <v>5</v>
      </c>
      <c r="J17" s="22" t="e">
        <f t="shared" ca="1" si="1"/>
        <v>#NAME?</v>
      </c>
      <c r="K17" s="7" t="s">
        <v>33</v>
      </c>
      <c r="L17" s="8"/>
      <c r="N17" s="9" t="e">
        <f ca="1">_xll.AddDuration(N16,"3m")</f>
        <v>#NAME?</v>
      </c>
      <c r="O17" s="11">
        <v>0.01</v>
      </c>
      <c r="P17" s="11">
        <f t="shared" ca="1" si="2"/>
        <v>4.9999999999999992E-3</v>
      </c>
      <c r="Q17" s="7"/>
      <c r="R17" s="7"/>
      <c r="S17" s="7"/>
      <c r="T17" s="7"/>
      <c r="U17" s="7"/>
      <c r="V17" s="11"/>
      <c r="W17" s="11"/>
      <c r="X17" s="7"/>
      <c r="Y17" s="7"/>
      <c r="Z17" s="7"/>
      <c r="AA17" s="7"/>
      <c r="AB17" s="7"/>
      <c r="AC17" s="8"/>
    </row>
    <row r="18" spans="2:29">
      <c r="B18" s="21" t="e">
        <f ca="1"/>
        <v>#NAME?</v>
      </c>
      <c r="C18" s="34" t="e">
        <f ca="1"/>
        <v>#NAME?</v>
      </c>
      <c r="D18" s="37" t="e">
        <f ca="1"/>
        <v>#NAME?</v>
      </c>
      <c r="E18" s="39" t="e">
        <f t="shared" ca="1" si="0"/>
        <v>#NAME?</v>
      </c>
      <c r="G18" t="s">
        <v>26</v>
      </c>
      <c r="H18" s="21" t="e">
        <f ca="1">_xll.AddDuration(_xll.MarketRefDate($I$4),G18)</f>
        <v>#NAME?</v>
      </c>
      <c r="I18" s="7" t="s">
        <v>5</v>
      </c>
      <c r="J18" s="22" t="e">
        <f t="shared" ca="1" si="1"/>
        <v>#NAME?</v>
      </c>
      <c r="K18" s="7" t="s">
        <v>33</v>
      </c>
      <c r="L18" s="8"/>
      <c r="N18" s="9" t="e">
        <f ca="1">_xll.AddDuration(N17,"3m")</f>
        <v>#NAME?</v>
      </c>
      <c r="O18" s="11">
        <v>0.01</v>
      </c>
      <c r="P18" s="11">
        <f t="shared" ca="1" si="2"/>
        <v>4.9999999999999992E-3</v>
      </c>
      <c r="Q18" s="7"/>
      <c r="R18" s="7"/>
      <c r="S18" s="7"/>
      <c r="T18" s="7"/>
      <c r="U18" s="7"/>
      <c r="V18" s="11"/>
      <c r="W18" s="11"/>
      <c r="X18" s="7"/>
      <c r="Y18" s="7"/>
      <c r="Z18" s="7"/>
      <c r="AA18" s="7"/>
      <c r="AB18" s="7"/>
      <c r="AC18" s="8"/>
    </row>
    <row r="19" spans="2:29">
      <c r="B19" s="21" t="e">
        <f ca="1"/>
        <v>#NAME?</v>
      </c>
      <c r="C19" s="34" t="e">
        <f ca="1"/>
        <v>#NAME?</v>
      </c>
      <c r="D19" s="37" t="e">
        <f ca="1"/>
        <v>#NAME?</v>
      </c>
      <c r="E19" s="39" t="e">
        <f t="shared" ca="1" si="0"/>
        <v>#NAME?</v>
      </c>
      <c r="G19" t="s">
        <v>58</v>
      </c>
      <c r="H19" s="21" t="e">
        <f ca="1">_xll.AddDuration(_xll.MarketRefDate($I$4),G19)</f>
        <v>#NAME?</v>
      </c>
      <c r="I19" s="7" t="s">
        <v>5</v>
      </c>
      <c r="J19" s="22" t="e">
        <f t="shared" ca="1" si="1"/>
        <v>#NAME?</v>
      </c>
      <c r="K19" s="7" t="s">
        <v>33</v>
      </c>
      <c r="L19" s="8"/>
      <c r="N19" s="9" t="e">
        <f ca="1">_xll.AddDuration(N18,"3m")</f>
        <v>#NAME?</v>
      </c>
      <c r="O19" s="11">
        <v>5.0000000000000001E-3</v>
      </c>
      <c r="P19" s="11">
        <f t="shared" ca="1" si="2"/>
        <v>9.9999999999999985E-3</v>
      </c>
      <c r="Q19" s="7"/>
      <c r="R19" s="7"/>
      <c r="S19" s="7"/>
      <c r="T19" s="7"/>
      <c r="U19" s="7"/>
      <c r="V19" s="11"/>
      <c r="W19" s="11"/>
      <c r="X19" s="7"/>
      <c r="Y19" s="7"/>
      <c r="Z19" s="7"/>
      <c r="AA19" s="7"/>
      <c r="AB19" s="7"/>
      <c r="AC19" s="8"/>
    </row>
    <row r="20" spans="2:29">
      <c r="B20" s="21" t="e">
        <f ca="1"/>
        <v>#NAME?</v>
      </c>
      <c r="C20" s="34" t="e">
        <f ca="1"/>
        <v>#NAME?</v>
      </c>
      <c r="D20" s="37" t="e">
        <f ca="1"/>
        <v>#NAME?</v>
      </c>
      <c r="E20" s="39" t="e">
        <f t="shared" ca="1" si="0"/>
        <v>#NAME?</v>
      </c>
      <c r="G20" t="s">
        <v>59</v>
      </c>
      <c r="H20" s="21" t="e">
        <f ca="1">_xll.AddDuration(_xll.MarketRefDate($I$4),G20)</f>
        <v>#NAME?</v>
      </c>
      <c r="I20" s="7" t="s">
        <v>5</v>
      </c>
      <c r="J20" s="22" t="e">
        <f t="shared" ca="1" si="1"/>
        <v>#NAME?</v>
      </c>
      <c r="K20" s="7" t="s">
        <v>33</v>
      </c>
      <c r="L20" s="8"/>
      <c r="N20" s="9" t="e">
        <f ca="1">_xll.AddDuration(N19,"3m")</f>
        <v>#NAME?</v>
      </c>
      <c r="O20" s="11">
        <v>5.0000000000000001E-3</v>
      </c>
      <c r="P20" s="11">
        <f t="shared" ref="P20:P45" ca="1" si="3">1.5%-O20</f>
        <v>9.9999999999999985E-3</v>
      </c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8"/>
    </row>
    <row r="21" spans="2:29">
      <c r="B21" s="21" t="e">
        <f ca="1"/>
        <v>#NAME?</v>
      </c>
      <c r="C21" s="34" t="e">
        <f ca="1"/>
        <v>#NAME?</v>
      </c>
      <c r="D21" s="37" t="e">
        <f ca="1"/>
        <v>#NAME?</v>
      </c>
      <c r="E21" s="39" t="e">
        <f t="shared" ca="1" si="0"/>
        <v>#NAME?</v>
      </c>
      <c r="G21" t="s">
        <v>60</v>
      </c>
      <c r="H21" s="21" t="e">
        <f ca="1">_xll.AddDuration(_xll.MarketRefDate($I$4),G21)</f>
        <v>#NAME?</v>
      </c>
      <c r="I21" s="7" t="s">
        <v>5</v>
      </c>
      <c r="J21" s="22" t="e">
        <f t="shared" ca="1" si="1"/>
        <v>#NAME?</v>
      </c>
      <c r="K21" s="7" t="s">
        <v>33</v>
      </c>
      <c r="L21" s="8"/>
      <c r="N21" s="9" t="e">
        <f ca="1">_xll.AddDuration(N20,"3m")</f>
        <v>#NAME?</v>
      </c>
      <c r="O21" s="11">
        <v>5.0000000000000001E-3</v>
      </c>
      <c r="P21" s="11">
        <f ca="1">1.5%-O21</f>
        <v>9.9999999999999985E-3</v>
      </c>
      <c r="Q21" s="7"/>
      <c r="R21" s="7"/>
      <c r="S21" s="7"/>
      <c r="T21" s="7"/>
      <c r="U21" s="7"/>
      <c r="V21" s="7"/>
      <c r="W21" s="7"/>
      <c r="X21" s="7"/>
      <c r="Y21" s="10"/>
      <c r="Z21" s="7"/>
      <c r="AA21" s="7"/>
      <c r="AB21" s="7"/>
      <c r="AC21" s="8"/>
    </row>
    <row r="22" spans="2:29">
      <c r="B22" s="21" t="e">
        <f ca="1"/>
        <v>#NAME?</v>
      </c>
      <c r="C22" s="34" t="e">
        <f ca="1"/>
        <v>#NAME?</v>
      </c>
      <c r="D22" s="37" t="e">
        <f ca="1"/>
        <v>#NAME?</v>
      </c>
      <c r="E22" s="39" t="e">
        <f t="shared" ca="1" si="0"/>
        <v>#NAME?</v>
      </c>
      <c r="G22" t="s">
        <v>61</v>
      </c>
      <c r="H22" s="21" t="e">
        <f ca="1">_xll.AddDuration(_xll.MarketRefDate($I$4),G22)</f>
        <v>#NAME?</v>
      </c>
      <c r="I22" s="7" t="s">
        <v>5</v>
      </c>
      <c r="J22" s="22" t="e">
        <f t="shared" ca="1" si="1"/>
        <v>#NAME?</v>
      </c>
      <c r="K22" s="7" t="s">
        <v>33</v>
      </c>
      <c r="L22" s="8"/>
      <c r="N22" s="9" t="e">
        <f ca="1">_xll.AddDuration(N21,"3m")</f>
        <v>#NAME?</v>
      </c>
      <c r="O22" s="11">
        <v>5.0000000000000001E-3</v>
      </c>
      <c r="P22" s="11">
        <f ca="1">1.5%-O22</f>
        <v>9.9999999999999985E-3</v>
      </c>
      <c r="Q22" s="29"/>
      <c r="R22" s="29"/>
      <c r="S22" s="29"/>
      <c r="T22" s="29"/>
      <c r="U22" s="29"/>
      <c r="V22" s="7"/>
      <c r="W22" s="7"/>
      <c r="X22" s="7"/>
      <c r="Y22" s="10"/>
      <c r="Z22" s="7"/>
      <c r="AA22" s="7"/>
      <c r="AB22" s="7"/>
      <c r="AC22" s="8"/>
    </row>
    <row r="23" spans="2:29">
      <c r="B23" s="21" t="e">
        <f ca="1"/>
        <v>#NAME?</v>
      </c>
      <c r="C23" s="34" t="e">
        <f ca="1"/>
        <v>#NAME?</v>
      </c>
      <c r="D23" s="37" t="e">
        <f ca="1"/>
        <v>#NAME?</v>
      </c>
      <c r="E23" s="39" t="e">
        <f t="shared" ca="1" si="0"/>
        <v>#NAME?</v>
      </c>
      <c r="G23" t="s">
        <v>62</v>
      </c>
      <c r="H23" s="21" t="e">
        <f ca="1">_xll.AddDuration(_xll.MarketRefDate($I$4),G23)</f>
        <v>#NAME?</v>
      </c>
      <c r="I23" s="7" t="s">
        <v>5</v>
      </c>
      <c r="J23" s="22" t="e">
        <f t="shared" ca="1" si="1"/>
        <v>#NAME?</v>
      </c>
      <c r="K23" s="7" t="s">
        <v>33</v>
      </c>
      <c r="L23" s="8"/>
      <c r="N23" s="9" t="e">
        <f ca="1">_xll.AddDuration(N22,"3m")</f>
        <v>#NAME?</v>
      </c>
      <c r="O23" s="11">
        <v>2.5000000000000001E-3</v>
      </c>
      <c r="P23" s="11">
        <f ca="1">1.5%-O23</f>
        <v>1.2499999999999999E-2</v>
      </c>
      <c r="Q23" s="16"/>
      <c r="R23" s="16"/>
      <c r="S23" s="16"/>
      <c r="T23" s="16"/>
      <c r="U23" s="16"/>
      <c r="V23" s="7"/>
      <c r="W23" s="7"/>
      <c r="X23" s="7"/>
      <c r="Y23" s="10"/>
      <c r="Z23" s="7"/>
      <c r="AA23" s="7"/>
      <c r="AB23" s="7"/>
      <c r="AC23" s="8"/>
    </row>
    <row r="24" spans="2:29">
      <c r="B24" s="21" t="e">
        <f ca="1"/>
        <v>#NAME?</v>
      </c>
      <c r="C24" s="34" t="e">
        <f ca="1"/>
        <v>#NAME?</v>
      </c>
      <c r="D24" s="37" t="e">
        <f ca="1"/>
        <v>#NAME?</v>
      </c>
      <c r="E24" s="39" t="e">
        <f t="shared" ca="1" si="0"/>
        <v>#NAME?</v>
      </c>
      <c r="G24" t="s">
        <v>63</v>
      </c>
      <c r="H24" s="21" t="e">
        <f ca="1">_xll.AddDuration(_xll.MarketRefDate($I$4),G24)</f>
        <v>#NAME?</v>
      </c>
      <c r="I24" s="7" t="s">
        <v>5</v>
      </c>
      <c r="J24" s="22" t="e">
        <f t="shared" ca="1" si="1"/>
        <v>#NAME?</v>
      </c>
      <c r="K24" s="7" t="s">
        <v>33</v>
      </c>
      <c r="L24" s="8"/>
      <c r="N24" s="9" t="e">
        <f ca="1">_xll.AddDuration(N23,"3m")</f>
        <v>#NAME?</v>
      </c>
      <c r="O24" s="11">
        <v>2.5000000000000001E-3</v>
      </c>
      <c r="P24" s="11">
        <f ca="1">1.5%-O24</f>
        <v>1.2499999999999999E-2</v>
      </c>
      <c r="Q24" s="16"/>
      <c r="R24" s="16"/>
      <c r="S24" s="16"/>
      <c r="T24" s="16"/>
      <c r="U24" s="16"/>
      <c r="V24" s="7"/>
      <c r="W24" s="7"/>
      <c r="X24" s="7"/>
      <c r="Y24" s="10"/>
      <c r="Z24" s="7"/>
      <c r="AA24" s="7"/>
      <c r="AB24" s="7"/>
      <c r="AC24" s="8"/>
    </row>
    <row r="25" spans="2:29">
      <c r="B25" s="21" t="e">
        <f ca="1"/>
        <v>#NAME?</v>
      </c>
      <c r="C25" s="34" t="e">
        <f ca="1"/>
        <v>#NAME?</v>
      </c>
      <c r="D25" s="37" t="e">
        <f ca="1"/>
        <v>#NAME?</v>
      </c>
      <c r="E25" s="39" t="e">
        <f t="shared" ca="1" si="0"/>
        <v>#NAME?</v>
      </c>
      <c r="G25" t="s">
        <v>64</v>
      </c>
      <c r="H25" s="21" t="e">
        <f ca="1">_xll.AddDuration(_xll.MarketRefDate($I$4),G25)</f>
        <v>#NAME?</v>
      </c>
      <c r="I25" s="7" t="s">
        <v>5</v>
      </c>
      <c r="J25" s="22" t="e">
        <f t="shared" ca="1" si="1"/>
        <v>#NAME?</v>
      </c>
      <c r="K25" s="7" t="s">
        <v>33</v>
      </c>
      <c r="L25" s="8"/>
      <c r="N25" s="9" t="e">
        <f ca="1">_xll.AddDuration(N24,"3m")</f>
        <v>#NAME?</v>
      </c>
      <c r="O25" s="11">
        <v>2.5000000000000001E-3</v>
      </c>
      <c r="P25" s="11">
        <f t="shared" ca="1" si="3"/>
        <v>1.2499999999999999E-2</v>
      </c>
      <c r="Q25" s="16"/>
      <c r="R25" s="16"/>
      <c r="S25" s="16"/>
      <c r="T25" s="16"/>
      <c r="U25" s="16"/>
      <c r="V25" s="7"/>
      <c r="W25" s="7"/>
      <c r="X25" s="7"/>
      <c r="Y25" s="7"/>
      <c r="Z25" s="7"/>
      <c r="AA25" s="7"/>
      <c r="AB25" s="7"/>
      <c r="AC25" s="8"/>
    </row>
    <row r="26" spans="2:29">
      <c r="B26" s="21" t="e">
        <f ca="1"/>
        <v>#NAME?</v>
      </c>
      <c r="C26" s="34" t="e">
        <f ca="1"/>
        <v>#NAME?</v>
      </c>
      <c r="D26" s="37" t="e">
        <f ca="1"/>
        <v>#NAME?</v>
      </c>
      <c r="E26" s="39" t="e">
        <f t="shared" ca="1" si="0"/>
        <v>#NAME?</v>
      </c>
      <c r="G26" t="s">
        <v>65</v>
      </c>
      <c r="H26" s="21" t="e">
        <f ca="1">_xll.AddDuration(_xll.MarketRefDate($I$4),G26)</f>
        <v>#NAME?</v>
      </c>
      <c r="I26" s="7" t="s">
        <v>5</v>
      </c>
      <c r="J26" s="22" t="e">
        <f t="shared" ca="1" si="1"/>
        <v>#NAME?</v>
      </c>
      <c r="K26" s="7" t="s">
        <v>33</v>
      </c>
      <c r="L26" s="8"/>
      <c r="N26" s="9" t="e">
        <f ca="1">_xll.AddDuration(N25,"3m")</f>
        <v>#NAME?</v>
      </c>
      <c r="O26" s="11">
        <v>2.5000000000000001E-3</v>
      </c>
      <c r="P26" s="11">
        <f ca="1">1.5%-O26</f>
        <v>1.2499999999999999E-2</v>
      </c>
      <c r="Q26" s="16"/>
      <c r="R26" s="16"/>
      <c r="S26" s="16"/>
      <c r="T26" s="16"/>
      <c r="U26" s="16"/>
      <c r="V26" s="7"/>
      <c r="W26" s="7"/>
      <c r="X26" s="7"/>
      <c r="Y26" s="7"/>
      <c r="Z26" s="7"/>
      <c r="AA26" s="7"/>
      <c r="AB26" s="7"/>
      <c r="AC26" s="8"/>
    </row>
    <row r="27" spans="2:29">
      <c r="B27" s="21" t="e">
        <f ca="1"/>
        <v>#NAME?</v>
      </c>
      <c r="C27" s="34" t="e">
        <f ca="1"/>
        <v>#NAME?</v>
      </c>
      <c r="D27" s="37" t="e">
        <f ca="1"/>
        <v>#NAME?</v>
      </c>
      <c r="E27" s="39" t="e">
        <f t="shared" ca="1" si="0"/>
        <v>#NAME?</v>
      </c>
      <c r="G27" t="s">
        <v>66</v>
      </c>
      <c r="H27" s="21" t="e">
        <f ca="1">_xll.AddDuration(_xll.MarketRefDate($I$4),G27)</f>
        <v>#NAME?</v>
      </c>
      <c r="I27" s="7" t="s">
        <v>5</v>
      </c>
      <c r="J27" s="22" t="e">
        <f t="shared" ca="1" si="1"/>
        <v>#NAME?</v>
      </c>
      <c r="K27" s="7" t="s">
        <v>33</v>
      </c>
      <c r="L27" s="8"/>
      <c r="N27" s="9" t="e">
        <f ca="1">_xll.AddDuration(N26,"3m")</f>
        <v>#NAME?</v>
      </c>
      <c r="O27" s="11">
        <v>2.5000000000000001E-3</v>
      </c>
      <c r="P27" s="11">
        <f ca="1">1.5%-O27</f>
        <v>1.2499999999999999E-2</v>
      </c>
      <c r="Q27" s="16"/>
      <c r="R27" s="16"/>
      <c r="S27" s="16"/>
      <c r="T27" s="16"/>
      <c r="U27" s="16"/>
      <c r="V27" s="7"/>
      <c r="W27" s="7"/>
      <c r="X27" s="7"/>
      <c r="Y27" s="7"/>
      <c r="Z27" s="7"/>
      <c r="AA27" s="7"/>
      <c r="AB27" s="7"/>
      <c r="AC27" s="8"/>
    </row>
    <row r="28" spans="2:29">
      <c r="B28" s="21" t="e">
        <f ca="1"/>
        <v>#NAME?</v>
      </c>
      <c r="C28" s="34" t="e">
        <f ca="1"/>
        <v>#NAME?</v>
      </c>
      <c r="D28" s="37" t="e">
        <f ca="1"/>
        <v>#NAME?</v>
      </c>
      <c r="E28" s="39" t="e">
        <f t="shared" ca="1" si="0"/>
        <v>#NAME?</v>
      </c>
      <c r="G28" t="s">
        <v>67</v>
      </c>
      <c r="H28" s="21" t="e">
        <f ca="1">_xll.AddDuration(_xll.MarketRefDate($I$4),G28)</f>
        <v>#NAME?</v>
      </c>
      <c r="I28" s="7" t="s">
        <v>5</v>
      </c>
      <c r="J28" s="22" t="e">
        <f t="shared" ca="1" si="1"/>
        <v>#NAME?</v>
      </c>
      <c r="K28" s="7" t="s">
        <v>33</v>
      </c>
      <c r="L28" s="8"/>
      <c r="N28" s="9" t="e">
        <f ca="1">_xll.AddDuration(N27,"3m")</f>
        <v>#NAME?</v>
      </c>
      <c r="O28" s="11">
        <v>2.5000000000000001E-3</v>
      </c>
      <c r="P28" s="11">
        <f ca="1">1.5%-O28</f>
        <v>1.2499999999999999E-2</v>
      </c>
      <c r="Q28" s="16"/>
      <c r="R28" s="16"/>
      <c r="S28" s="16"/>
      <c r="T28" s="16"/>
      <c r="U28" s="16"/>
      <c r="V28" s="7"/>
      <c r="W28" s="7"/>
      <c r="X28" s="7"/>
      <c r="Y28" s="7"/>
      <c r="Z28" s="7"/>
      <c r="AA28" s="7"/>
      <c r="AB28" s="7"/>
      <c r="AC28" s="8"/>
    </row>
    <row r="29" spans="2:29">
      <c r="B29" s="21" t="e">
        <f ca="1"/>
        <v>#NAME?</v>
      </c>
      <c r="C29" s="34" t="e">
        <f ca="1"/>
        <v>#NAME?</v>
      </c>
      <c r="D29" s="37" t="e">
        <f ca="1"/>
        <v>#NAME?</v>
      </c>
      <c r="E29" s="39" t="e">
        <f t="shared" ca="1" si="0"/>
        <v>#NAME?</v>
      </c>
      <c r="G29" t="s">
        <v>68</v>
      </c>
      <c r="H29" s="21" t="e">
        <f ca="1">_xll.AddDuration(_xll.MarketRefDate($I$4),G29)</f>
        <v>#NAME?</v>
      </c>
      <c r="I29" s="7" t="s">
        <v>5</v>
      </c>
      <c r="J29" s="22" t="e">
        <f t="shared" ca="1" si="1"/>
        <v>#NAME?</v>
      </c>
      <c r="K29" s="7" t="s">
        <v>33</v>
      </c>
      <c r="L29" s="8"/>
      <c r="N29" s="9" t="e">
        <f ca="1">_xll.AddDuration(N28,"3m")</f>
        <v>#NAME?</v>
      </c>
      <c r="O29" s="11">
        <v>2.5000000000000001E-3</v>
      </c>
      <c r="P29" s="11">
        <f t="shared" ca="1" si="3"/>
        <v>1.2499999999999999E-2</v>
      </c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8"/>
    </row>
    <row r="30" spans="2:29">
      <c r="B30" s="21" t="e">
        <f ca="1"/>
        <v>#NAME?</v>
      </c>
      <c r="C30" s="34" t="e">
        <f ca="1"/>
        <v>#NAME?</v>
      </c>
      <c r="D30" s="37" t="e">
        <f ca="1"/>
        <v>#NAME?</v>
      </c>
      <c r="E30" s="39" t="e">
        <f t="shared" ca="1" si="0"/>
        <v>#NAME?</v>
      </c>
      <c r="G30" t="s">
        <v>9</v>
      </c>
      <c r="H30" s="21" t="e">
        <f ca="1">_xll.AddDuration(_xll.MarketRefDate($I$4),G30)</f>
        <v>#NAME?</v>
      </c>
      <c r="I30" s="7" t="s">
        <v>5</v>
      </c>
      <c r="J30" s="22" t="e">
        <f t="shared" ca="1" si="1"/>
        <v>#NAME?</v>
      </c>
      <c r="K30" s="7" t="s">
        <v>33</v>
      </c>
      <c r="L30" s="8"/>
      <c r="N30" s="9" t="e">
        <f ca="1">_xll.AddDuration(N29,"3m")</f>
        <v>#NAME?</v>
      </c>
      <c r="O30" s="11">
        <v>5.0000000000000001E-4</v>
      </c>
      <c r="P30" s="11">
        <f t="shared" ca="1" si="3"/>
        <v>1.4499999999999999E-2</v>
      </c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8"/>
    </row>
    <row r="31" spans="2:29">
      <c r="H31" s="12"/>
      <c r="I31" s="13"/>
      <c r="J31" s="13"/>
      <c r="K31" s="13"/>
      <c r="L31" s="14"/>
      <c r="N31" s="9" t="e">
        <f ca="1">_xll.AddDuration(N30,"3m")</f>
        <v>#NAME?</v>
      </c>
      <c r="O31" s="11">
        <v>5.0000000000000001E-4</v>
      </c>
      <c r="P31" s="11">
        <f ca="1">1.5%-O31</f>
        <v>1.4499999999999999E-2</v>
      </c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8"/>
    </row>
    <row r="32" spans="2:29">
      <c r="N32" s="9" t="e">
        <f ca="1">_xll.AddDuration(N31,"3m")</f>
        <v>#NAME?</v>
      </c>
      <c r="O32" s="11">
        <v>5.0000000000000001E-4</v>
      </c>
      <c r="P32" s="11">
        <f ca="1">1.5%-O32</f>
        <v>1.4499999999999999E-2</v>
      </c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8"/>
    </row>
    <row r="33" spans="14:29">
      <c r="N33" s="9" t="e">
        <f ca="1">_xll.AddDuration(N32,"3m")</f>
        <v>#NAME?</v>
      </c>
      <c r="O33" s="11">
        <v>5.0000000000000001E-4</v>
      </c>
      <c r="P33" s="11">
        <f ca="1">1.5%-O33</f>
        <v>1.4499999999999999E-2</v>
      </c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8"/>
    </row>
    <row r="34" spans="14:29">
      <c r="N34" s="9" t="e">
        <f ca="1">_xll.AddDuration(N33,"3m")</f>
        <v>#NAME?</v>
      </c>
      <c r="O34" s="11">
        <v>5.0000000000000001E-4</v>
      </c>
      <c r="P34" s="11">
        <f ca="1">1.5%-O34</f>
        <v>1.4499999999999999E-2</v>
      </c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8"/>
    </row>
    <row r="35" spans="14:29">
      <c r="N35" s="9" t="e">
        <f ca="1">_xll.AddDuration(N34,"3m")</f>
        <v>#NAME?</v>
      </c>
      <c r="O35" s="11">
        <v>5.0000000000000001E-4</v>
      </c>
      <c r="P35" s="11">
        <f t="shared" ca="1" si="3"/>
        <v>1.4499999999999999E-2</v>
      </c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8"/>
    </row>
    <row r="36" spans="14:29">
      <c r="N36" s="9" t="e">
        <f ca="1">_xll.AddDuration(N35,"3m")</f>
        <v>#NAME?</v>
      </c>
      <c r="O36" s="11">
        <v>5.0000000000000001E-4</v>
      </c>
      <c r="P36" s="11">
        <f ca="1">1.5%-O36</f>
        <v>1.4499999999999999E-2</v>
      </c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8"/>
    </row>
    <row r="37" spans="14:29">
      <c r="N37" s="9" t="e">
        <f ca="1">_xll.AddDuration(N36,"3m")</f>
        <v>#NAME?</v>
      </c>
      <c r="O37" s="11">
        <v>5.0000000000000001E-4</v>
      </c>
      <c r="P37" s="11">
        <f t="shared" ca="1" si="3"/>
        <v>1.4499999999999999E-2</v>
      </c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8"/>
    </row>
    <row r="38" spans="14:29">
      <c r="N38" s="9" t="e">
        <f ca="1">_xll.AddDuration(N37,"3m")</f>
        <v>#NAME?</v>
      </c>
      <c r="O38" s="11">
        <v>5.0000000000000001E-4</v>
      </c>
      <c r="P38" s="11">
        <f t="shared" ca="1" si="3"/>
        <v>1.4499999999999999E-2</v>
      </c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8"/>
    </row>
    <row r="39" spans="14:29">
      <c r="N39" s="9" t="e">
        <f ca="1">_xll.AddDuration(N38,"3m")</f>
        <v>#NAME?</v>
      </c>
      <c r="O39" s="11">
        <v>5.0000000000000001E-4</v>
      </c>
      <c r="P39" s="11">
        <f t="shared" ca="1" si="3"/>
        <v>1.4499999999999999E-2</v>
      </c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8"/>
    </row>
    <row r="40" spans="14:29">
      <c r="N40" s="9" t="e">
        <f ca="1">_xll.AddDuration(N39,"3m")</f>
        <v>#NAME?</v>
      </c>
      <c r="O40" s="11">
        <v>5.0000000000000001E-4</v>
      </c>
      <c r="P40" s="11">
        <f t="shared" ca="1" si="3"/>
        <v>1.4499999999999999E-2</v>
      </c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8"/>
    </row>
    <row r="41" spans="14:29">
      <c r="N41" s="9" t="e">
        <f ca="1">_xll.AddDuration(N40,"3m")</f>
        <v>#NAME?</v>
      </c>
      <c r="O41" s="11">
        <v>5.0000000000000001E-4</v>
      </c>
      <c r="P41" s="11">
        <f t="shared" ca="1" si="3"/>
        <v>1.4499999999999999E-2</v>
      </c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8"/>
    </row>
    <row r="42" spans="14:29">
      <c r="N42" s="9" t="e">
        <f ca="1">_xll.AddDuration(N41,"3m")</f>
        <v>#NAME?</v>
      </c>
      <c r="O42" s="11">
        <v>5.0000000000000001E-4</v>
      </c>
      <c r="P42" s="11">
        <f t="shared" ca="1" si="3"/>
        <v>1.4499999999999999E-2</v>
      </c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8"/>
    </row>
    <row r="43" spans="14:29">
      <c r="N43" s="9" t="e">
        <f ca="1">_xll.AddDuration(N42,"3m")</f>
        <v>#NAME?</v>
      </c>
      <c r="O43" s="11">
        <v>5.0000000000000001E-4</v>
      </c>
      <c r="P43" s="11">
        <f t="shared" ca="1" si="3"/>
        <v>1.4499999999999999E-2</v>
      </c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8"/>
    </row>
    <row r="44" spans="14:29">
      <c r="N44" s="9" t="e">
        <f ca="1">_xll.AddDuration(N43,"3m")</f>
        <v>#NAME?</v>
      </c>
      <c r="O44" s="11">
        <v>5.0000000000000001E-4</v>
      </c>
      <c r="P44" s="11">
        <f t="shared" ca="1" si="3"/>
        <v>1.4499999999999999E-2</v>
      </c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8"/>
    </row>
    <row r="45" spans="14:29">
      <c r="N45" s="9" t="e">
        <f ca="1">_xll.AddDuration(N44,"3m")</f>
        <v>#NAME?</v>
      </c>
      <c r="O45" s="11">
        <v>5.0000000000000001E-4</v>
      </c>
      <c r="P45" s="11">
        <f t="shared" ca="1" si="3"/>
        <v>1.4499999999999999E-2</v>
      </c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8"/>
    </row>
    <row r="46" spans="14:29">
      <c r="N46" s="12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4"/>
    </row>
  </sheetData>
  <hyperlinks>
    <hyperlink ref="I8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:AF46"/>
  <sheetViews>
    <sheetView workbookViewId="0">
      <selection activeCell="C5" sqref="C5"/>
    </sheetView>
  </sheetViews>
  <sheetFormatPr baseColWidth="10" defaultRowHeight="15"/>
  <cols>
    <col min="2" max="2" width="13.140625" style="1" bestFit="1" customWidth="1"/>
    <col min="3" max="4" width="13.140625" bestFit="1" customWidth="1"/>
    <col min="6" max="6" width="12.7109375" bestFit="1" customWidth="1"/>
    <col min="11" max="11" width="18.42578125" bestFit="1" customWidth="1"/>
    <col min="12" max="12" width="13.5703125" customWidth="1"/>
    <col min="14" max="14" width="19.85546875" bestFit="1" customWidth="1"/>
    <col min="17" max="17" width="12.140625" bestFit="1" customWidth="1"/>
    <col min="18" max="18" width="12.28515625" bestFit="1" customWidth="1"/>
    <col min="19" max="19" width="12.5703125" bestFit="1" customWidth="1"/>
    <col min="20" max="20" width="12.7109375" bestFit="1" customWidth="1"/>
    <col min="22" max="22" width="12.5703125" bestFit="1" customWidth="1"/>
    <col min="23" max="23" width="12.7109375" bestFit="1" customWidth="1"/>
    <col min="24" max="24" width="13.28515625" bestFit="1" customWidth="1"/>
  </cols>
  <sheetData>
    <row r="1" spans="1:32">
      <c r="B1" s="18" t="s">
        <v>34</v>
      </c>
      <c r="C1" s="5" t="s">
        <v>49</v>
      </c>
      <c r="E1" s="18" t="s">
        <v>35</v>
      </c>
      <c r="F1" s="5" t="s">
        <v>36</v>
      </c>
    </row>
    <row r="2" spans="1:32">
      <c r="B2" s="19" t="s">
        <v>1</v>
      </c>
      <c r="C2" s="8" t="s">
        <v>2</v>
      </c>
      <c r="E2" s="19" t="s">
        <v>37</v>
      </c>
      <c r="F2" s="24">
        <v>50000</v>
      </c>
      <c r="Q2" s="2" t="s">
        <v>0</v>
      </c>
      <c r="R2" s="3">
        <v>42057</v>
      </c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5"/>
    </row>
    <row r="3" spans="1:32">
      <c r="B3" s="6"/>
      <c r="C3" s="8"/>
      <c r="E3" s="19" t="s">
        <v>50</v>
      </c>
      <c r="F3" s="8" t="s">
        <v>51</v>
      </c>
      <c r="Q3" s="6"/>
      <c r="R3" s="15"/>
      <c r="S3" s="7"/>
      <c r="T3" s="7"/>
      <c r="U3" s="7" t="s">
        <v>13</v>
      </c>
      <c r="V3" s="7" t="s">
        <v>27</v>
      </c>
      <c r="W3" s="7" t="s">
        <v>28</v>
      </c>
      <c r="X3" s="7"/>
      <c r="Y3" s="7"/>
      <c r="Z3" s="7"/>
      <c r="AA3" s="7"/>
      <c r="AB3" s="7"/>
      <c r="AC3" s="7"/>
      <c r="AD3" s="7"/>
      <c r="AE3" s="7"/>
      <c r="AF3" s="8"/>
    </row>
    <row r="4" spans="1:32">
      <c r="B4" s="30"/>
      <c r="C4" s="31"/>
      <c r="E4" s="30"/>
      <c r="F4" s="14"/>
      <c r="K4" s="17" t="s">
        <v>40</v>
      </c>
      <c r="L4" t="e">
        <f t="array" aca="1" ref="L4" ca="1">IF(_xll.SetMarket("mktNoDiv",FlatNoDivMkt), "mktNoDiv", "FAILED")</f>
        <v>#NAME?</v>
      </c>
      <c r="Q4" s="6" t="s">
        <v>1</v>
      </c>
      <c r="R4" s="7" t="s">
        <v>3</v>
      </c>
      <c r="S4" s="7" t="s">
        <v>4</v>
      </c>
      <c r="T4" s="7"/>
      <c r="U4" s="7" t="s">
        <v>7</v>
      </c>
      <c r="V4" s="11">
        <v>1</v>
      </c>
      <c r="W4" s="11">
        <v>1</v>
      </c>
      <c r="X4" s="7"/>
      <c r="Y4" s="11"/>
      <c r="Z4" s="11"/>
      <c r="AA4" s="7"/>
      <c r="AB4" s="7"/>
      <c r="AC4" s="7"/>
      <c r="AD4" s="7"/>
      <c r="AE4" s="7"/>
      <c r="AF4" s="8"/>
    </row>
    <row r="5" spans="1:32">
      <c r="Q5" s="6" t="s">
        <v>2</v>
      </c>
      <c r="R5" s="7">
        <v>1</v>
      </c>
      <c r="S5" s="7" t="s">
        <v>5</v>
      </c>
      <c r="T5" s="7"/>
      <c r="U5" s="7" t="s">
        <v>8</v>
      </c>
      <c r="V5" s="11">
        <v>1</v>
      </c>
      <c r="W5" s="11">
        <v>1</v>
      </c>
      <c r="X5" s="7"/>
      <c r="Y5" s="11"/>
      <c r="Z5" s="11"/>
      <c r="AA5" s="7"/>
      <c r="AB5" s="7"/>
      <c r="AC5" s="7"/>
      <c r="AD5" s="7"/>
      <c r="AE5" s="7"/>
      <c r="AF5" s="8"/>
    </row>
    <row r="6" spans="1:32">
      <c r="K6" s="18" t="s">
        <v>30</v>
      </c>
      <c r="L6" s="4" t="s">
        <v>45</v>
      </c>
      <c r="M6" s="4"/>
      <c r="N6" s="4"/>
      <c r="O6" s="5"/>
      <c r="Q6" s="6"/>
      <c r="R6" s="7"/>
      <c r="S6" s="7"/>
      <c r="T6" s="7"/>
      <c r="U6" s="7" t="s">
        <v>14</v>
      </c>
      <c r="V6" s="11">
        <v>1</v>
      </c>
      <c r="W6" s="11">
        <v>1</v>
      </c>
      <c r="X6" s="7"/>
      <c r="Y6" s="11"/>
      <c r="Z6" s="11"/>
      <c r="AA6" s="7"/>
      <c r="AB6" s="7"/>
      <c r="AC6" s="7"/>
      <c r="AD6" s="7"/>
      <c r="AE6" s="7"/>
      <c r="AF6" s="8"/>
    </row>
    <row r="7" spans="1:32">
      <c r="B7" s="2" t="e">
        <f t="array" aca="1" ref="B7:C30" ca="1">McPrice("price",K6:O31,$L$4,B1:C4,E1:F4)</f>
        <v>#NAME?</v>
      </c>
      <c r="C7" s="26" t="e">
        <f ca="1"/>
        <v>#NAME?</v>
      </c>
      <c r="K7" s="6"/>
      <c r="L7" s="7"/>
      <c r="M7" s="7"/>
      <c r="N7" s="7"/>
      <c r="O7" s="8"/>
      <c r="Q7" s="6"/>
      <c r="R7" s="7"/>
      <c r="S7" s="7"/>
      <c r="T7" s="7"/>
      <c r="U7" s="7" t="s">
        <v>15</v>
      </c>
      <c r="V7" s="11">
        <v>1</v>
      </c>
      <c r="W7" s="11">
        <v>1</v>
      </c>
      <c r="X7" s="7"/>
      <c r="Y7" s="11"/>
      <c r="Z7" s="11"/>
      <c r="AA7" s="7"/>
      <c r="AB7" s="7"/>
      <c r="AC7" s="7"/>
      <c r="AD7" s="7"/>
      <c r="AE7" s="7"/>
      <c r="AF7" s="8"/>
    </row>
    <row r="8" spans="1:32">
      <c r="B8" s="6" t="e">
        <f ca="1"/>
        <v>#NAME?</v>
      </c>
      <c r="C8" s="8" t="e">
        <f ca="1"/>
        <v>#NAME?</v>
      </c>
      <c r="K8" s="19" t="s">
        <v>46</v>
      </c>
      <c r="L8" s="7" t="s">
        <v>42</v>
      </c>
      <c r="M8" s="7"/>
      <c r="N8" s="7"/>
      <c r="O8" s="8"/>
      <c r="Q8" s="6"/>
      <c r="R8" s="7"/>
      <c r="S8" s="7"/>
      <c r="T8" s="7"/>
      <c r="U8" s="7" t="s">
        <v>9</v>
      </c>
      <c r="V8" s="11">
        <v>1</v>
      </c>
      <c r="W8" s="11">
        <v>1</v>
      </c>
      <c r="X8" s="7"/>
      <c r="Y8" s="11"/>
      <c r="Z8" s="11"/>
      <c r="AA8" s="7"/>
      <c r="AB8" s="7"/>
      <c r="AC8" s="7"/>
      <c r="AD8" s="7"/>
      <c r="AE8" s="7"/>
      <c r="AF8" s="8"/>
    </row>
    <row r="9" spans="1:32">
      <c r="B9" s="6" t="e">
        <f ca="1"/>
        <v>#NAME?</v>
      </c>
      <c r="C9" s="7" t="e">
        <f ca="1"/>
        <v>#NAME?</v>
      </c>
      <c r="D9" s="42" t="s">
        <v>38</v>
      </c>
      <c r="E9" s="42" t="s">
        <v>39</v>
      </c>
      <c r="F9" s="38" t="s">
        <v>72</v>
      </c>
      <c r="G9" s="43" t="s">
        <v>73</v>
      </c>
      <c r="H9" s="20" t="s">
        <v>44</v>
      </c>
      <c r="I9" s="20"/>
      <c r="K9" s="19" t="s">
        <v>47</v>
      </c>
      <c r="L9" s="20" t="s">
        <v>76</v>
      </c>
      <c r="M9" s="20" t="s">
        <v>32</v>
      </c>
      <c r="N9" s="20" t="s">
        <v>31</v>
      </c>
      <c r="O9" s="23" t="s">
        <v>41</v>
      </c>
      <c r="Q9" s="6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8"/>
    </row>
    <row r="10" spans="1:32">
      <c r="A10" s="33"/>
      <c r="B10" s="21" t="e">
        <f ca="1"/>
        <v>#NAME?</v>
      </c>
      <c r="C10" s="40" t="e">
        <f ca="1"/>
        <v>#NAME?</v>
      </c>
      <c r="D10" s="40" t="e">
        <f t="array" aca="1" ref="D10:D30" ca="1">_xll.AssetForward($L$4,K10:K30,"STOXX_5E")</f>
        <v>#NAME?</v>
      </c>
      <c r="E10" s="41" t="e">
        <f ca="1">_xll.DayCount(_xll.MarketRefDate($L$4),B10,"act/365")</f>
        <v>#NAME?</v>
      </c>
      <c r="F10" s="34" t="e">
        <f ca="1">_xll.BlackImpliedVol(D10,O10,E10,C10,"call")</f>
        <v>#NAME?</v>
      </c>
      <c r="G10" s="36" t="e">
        <f t="array" aca="1" ref="G10:G30" ca="1">_xll.VolSurface($L$4,B10:B30,1,"STOXX_5E")</f>
        <v>#NAME?</v>
      </c>
      <c r="H10" s="33" t="e">
        <f t="shared" ref="H10:H30" ca="1" si="0">F10-G10</f>
        <v>#NAME?</v>
      </c>
      <c r="I10" s="33"/>
      <c r="J10" t="s">
        <v>23</v>
      </c>
      <c r="K10" s="21" t="e">
        <f ca="1">_xll.AddDuration(_xll.MarketRefDate($L$4),J10)</f>
        <v>#NAME?</v>
      </c>
      <c r="L10" s="7" t="s">
        <v>5</v>
      </c>
      <c r="M10" s="22" t="e">
        <f t="shared" ref="M10:M30" ca="1" si="1">K10</f>
        <v>#NAME?</v>
      </c>
      <c r="N10" s="7" t="s">
        <v>33</v>
      </c>
      <c r="O10" s="8">
        <v>1</v>
      </c>
      <c r="Q10" s="6" t="s">
        <v>10</v>
      </c>
      <c r="R10" s="7" t="s">
        <v>11</v>
      </c>
      <c r="S10" s="7" t="s">
        <v>12</v>
      </c>
      <c r="T10" s="7"/>
      <c r="U10" s="7" t="s">
        <v>6</v>
      </c>
      <c r="V10" s="7" t="s">
        <v>2</v>
      </c>
      <c r="W10" s="7"/>
      <c r="X10" s="7" t="s">
        <v>29</v>
      </c>
      <c r="Y10" s="29">
        <v>0.60653065971263342</v>
      </c>
      <c r="Z10" s="29">
        <v>0.74081822068171788</v>
      </c>
      <c r="AA10" s="29">
        <v>0.90483741803595952</v>
      </c>
      <c r="AB10" s="29">
        <v>1</v>
      </c>
      <c r="AC10" s="29">
        <v>1.1051709180756477</v>
      </c>
      <c r="AD10" s="29">
        <v>1.3498588075760032</v>
      </c>
      <c r="AE10" s="29">
        <v>1.6487212707001282</v>
      </c>
      <c r="AF10" s="8"/>
    </row>
    <row r="11" spans="1:32">
      <c r="B11" s="21" t="e">
        <f ca="1"/>
        <v>#NAME?</v>
      </c>
      <c r="C11" s="40" t="e">
        <f ca="1"/>
        <v>#NAME?</v>
      </c>
      <c r="D11" s="40" t="e">
        <f ca="1"/>
        <v>#NAME?</v>
      </c>
      <c r="E11" s="41" t="e">
        <f ca="1">_xll.DayCount(_xll.MarketRefDate($L$4),B11,"act/365")</f>
        <v>#NAME?</v>
      </c>
      <c r="F11" s="34" t="e">
        <f ca="1">_xll.BlackImpliedVol(D11,O11,E11,C11,"call")</f>
        <v>#NAME?</v>
      </c>
      <c r="G11" s="36" t="e">
        <f ca="1"/>
        <v>#NAME?</v>
      </c>
      <c r="H11" s="33" t="e">
        <f t="shared" ca="1" si="0"/>
        <v>#NAME?</v>
      </c>
      <c r="I11" s="33"/>
      <c r="J11" t="s">
        <v>53</v>
      </c>
      <c r="K11" s="21" t="e">
        <f ca="1">_xll.AddDuration(_xll.MarketRefDate($L$4),J11)</f>
        <v>#NAME?</v>
      </c>
      <c r="L11" s="7" t="s">
        <v>5</v>
      </c>
      <c r="M11" s="22" t="e">
        <f t="shared" ca="1" si="1"/>
        <v>#NAME?</v>
      </c>
      <c r="N11" s="7" t="s">
        <v>33</v>
      </c>
      <c r="O11" s="8">
        <v>1</v>
      </c>
      <c r="Q11" s="9" t="e">
        <f ca="1">_xll.AddDuration($R$2,"3m")</f>
        <v>#NAME?</v>
      </c>
      <c r="R11" s="11">
        <v>0</v>
      </c>
      <c r="S11" s="11">
        <v>0</v>
      </c>
      <c r="T11" s="7"/>
      <c r="U11" s="7" t="s">
        <v>7</v>
      </c>
      <c r="V11" s="10">
        <v>0</v>
      </c>
      <c r="W11" s="7"/>
      <c r="X11" s="15">
        <v>42085</v>
      </c>
      <c r="Y11" s="16">
        <v>0.23</v>
      </c>
      <c r="Z11" s="16">
        <v>0.23</v>
      </c>
      <c r="AA11" s="16">
        <v>0.23</v>
      </c>
      <c r="AB11" s="16">
        <v>0.23</v>
      </c>
      <c r="AC11" s="16">
        <v>0.23</v>
      </c>
      <c r="AD11" s="16">
        <v>0.23</v>
      </c>
      <c r="AE11" s="16">
        <v>0.23</v>
      </c>
      <c r="AF11" s="8"/>
    </row>
    <row r="12" spans="1:32">
      <c r="B12" s="21" t="e">
        <f ca="1"/>
        <v>#NAME?</v>
      </c>
      <c r="C12" s="40" t="e">
        <f ca="1"/>
        <v>#NAME?</v>
      </c>
      <c r="D12" s="40" t="e">
        <f ca="1"/>
        <v>#NAME?</v>
      </c>
      <c r="E12" s="41" t="e">
        <f ca="1">_xll.DayCount(_xll.MarketRefDate($L$4),B12,"act/365")</f>
        <v>#NAME?</v>
      </c>
      <c r="F12" s="34" t="e">
        <f ca="1">_xll.BlackImpliedVol(D12,O12,E12,C12,"call")</f>
        <v>#NAME?</v>
      </c>
      <c r="G12" s="36" t="e">
        <f ca="1"/>
        <v>#NAME?</v>
      </c>
      <c r="H12" s="33" t="e">
        <f t="shared" ca="1" si="0"/>
        <v>#NAME?</v>
      </c>
      <c r="I12" s="33"/>
      <c r="J12" t="s">
        <v>24</v>
      </c>
      <c r="K12" s="21" t="e">
        <f ca="1">_xll.AddDuration(_xll.MarketRefDate($L$4),J12)</f>
        <v>#NAME?</v>
      </c>
      <c r="L12" s="7" t="s">
        <v>5</v>
      </c>
      <c r="M12" s="22" t="e">
        <f t="shared" ca="1" si="1"/>
        <v>#NAME?</v>
      </c>
      <c r="N12" s="7" t="s">
        <v>33</v>
      </c>
      <c r="O12" s="8">
        <v>1</v>
      </c>
      <c r="Q12" s="9" t="e">
        <f ca="1">_xll.AddDuration(Q11,"3m")</f>
        <v>#NAME?</v>
      </c>
      <c r="R12" s="11">
        <v>0</v>
      </c>
      <c r="S12" s="11">
        <v>0</v>
      </c>
      <c r="T12" s="7"/>
      <c r="U12" s="7" t="s">
        <v>8</v>
      </c>
      <c r="V12" s="10">
        <v>0</v>
      </c>
      <c r="W12" s="7"/>
      <c r="X12" s="15">
        <v>42146</v>
      </c>
      <c r="Y12" s="16">
        <v>0.23</v>
      </c>
      <c r="Z12" s="16">
        <v>0.23</v>
      </c>
      <c r="AA12" s="16">
        <v>0.23</v>
      </c>
      <c r="AB12" s="16">
        <v>0.23</v>
      </c>
      <c r="AC12" s="16">
        <v>0.23</v>
      </c>
      <c r="AD12" s="16">
        <v>0.23</v>
      </c>
      <c r="AE12" s="16">
        <v>0.23</v>
      </c>
      <c r="AF12" s="8"/>
    </row>
    <row r="13" spans="1:32">
      <c r="B13" s="21" t="e">
        <f ca="1"/>
        <v>#NAME?</v>
      </c>
      <c r="C13" s="40" t="e">
        <f ca="1"/>
        <v>#NAME?</v>
      </c>
      <c r="D13" s="40" t="e">
        <f ca="1"/>
        <v>#NAME?</v>
      </c>
      <c r="E13" s="41" t="e">
        <f ca="1">_xll.DayCount(_xll.MarketRefDate($L$4),B13,"act/365")</f>
        <v>#NAME?</v>
      </c>
      <c r="F13" s="34" t="e">
        <f ca="1">_xll.BlackImpliedVol(D13,O13,E13,C13,"call")</f>
        <v>#NAME?</v>
      </c>
      <c r="G13" s="36" t="e">
        <f ca="1"/>
        <v>#NAME?</v>
      </c>
      <c r="H13" s="33" t="e">
        <f t="shared" ca="1" si="0"/>
        <v>#NAME?</v>
      </c>
      <c r="I13" s="33"/>
      <c r="J13" t="s">
        <v>54</v>
      </c>
      <c r="K13" s="21" t="e">
        <f ca="1">_xll.AddDuration(_xll.MarketRefDate($L$4),J13)</f>
        <v>#NAME?</v>
      </c>
      <c r="L13" s="7" t="s">
        <v>5</v>
      </c>
      <c r="M13" s="22" t="e">
        <f t="shared" ca="1" si="1"/>
        <v>#NAME?</v>
      </c>
      <c r="N13" s="7" t="s">
        <v>33</v>
      </c>
      <c r="O13" s="8">
        <v>1</v>
      </c>
      <c r="Q13" s="9" t="e">
        <f ca="1">_xll.AddDuration(Q12,"3m")</f>
        <v>#NAME?</v>
      </c>
      <c r="R13" s="11">
        <v>0</v>
      </c>
      <c r="S13" s="11">
        <v>0</v>
      </c>
      <c r="T13" s="7"/>
      <c r="U13" s="7" t="s">
        <v>9</v>
      </c>
      <c r="V13" s="10">
        <v>0</v>
      </c>
      <c r="W13" s="7"/>
      <c r="X13" s="15">
        <v>42238</v>
      </c>
      <c r="Y13" s="16">
        <v>0.23</v>
      </c>
      <c r="Z13" s="16">
        <v>0.23</v>
      </c>
      <c r="AA13" s="16">
        <v>0.23</v>
      </c>
      <c r="AB13" s="16">
        <v>0.23</v>
      </c>
      <c r="AC13" s="16">
        <v>0.23</v>
      </c>
      <c r="AD13" s="16">
        <v>0.23</v>
      </c>
      <c r="AE13" s="16">
        <v>0.23</v>
      </c>
      <c r="AF13" s="8"/>
    </row>
    <row r="14" spans="1:32">
      <c r="B14" s="21" t="e">
        <f ca="1"/>
        <v>#NAME?</v>
      </c>
      <c r="C14" s="40" t="e">
        <f ca="1"/>
        <v>#NAME?</v>
      </c>
      <c r="D14" s="40" t="e">
        <f ca="1"/>
        <v>#NAME?</v>
      </c>
      <c r="E14" s="41" t="e">
        <f ca="1">_xll.DayCount(_xll.MarketRefDate($L$4),B14,"act/365")</f>
        <v>#NAME?</v>
      </c>
      <c r="F14" s="34" t="e">
        <f ca="1">_xll.BlackImpliedVol(D14,O14,E14,C14,"call")</f>
        <v>#NAME?</v>
      </c>
      <c r="G14" s="36" t="e">
        <f ca="1"/>
        <v>#NAME?</v>
      </c>
      <c r="H14" s="33" t="e">
        <f t="shared" ca="1" si="0"/>
        <v>#NAME?</v>
      </c>
      <c r="I14" s="33"/>
      <c r="J14" t="s">
        <v>55</v>
      </c>
      <c r="K14" s="21" t="e">
        <f ca="1">_xll.AddDuration(_xll.MarketRefDate($L$4),J14)</f>
        <v>#NAME?</v>
      </c>
      <c r="L14" s="7" t="s">
        <v>5</v>
      </c>
      <c r="M14" s="22" t="e">
        <f t="shared" ca="1" si="1"/>
        <v>#NAME?</v>
      </c>
      <c r="N14" s="7" t="s">
        <v>33</v>
      </c>
      <c r="O14" s="8">
        <v>1</v>
      </c>
      <c r="Q14" s="9" t="e">
        <f ca="1">_xll.AddDuration(Q13,"3m")</f>
        <v>#NAME?</v>
      </c>
      <c r="R14" s="11">
        <v>0</v>
      </c>
      <c r="S14" s="11">
        <v>0</v>
      </c>
      <c r="T14" s="7"/>
      <c r="U14" s="7"/>
      <c r="V14" s="7"/>
      <c r="W14" s="7"/>
      <c r="X14" s="15">
        <v>42360</v>
      </c>
      <c r="Y14" s="16">
        <v>0.23</v>
      </c>
      <c r="Z14" s="16">
        <v>0.23</v>
      </c>
      <c r="AA14" s="16">
        <v>0.23</v>
      </c>
      <c r="AB14" s="16">
        <v>0.23</v>
      </c>
      <c r="AC14" s="16">
        <v>0.23</v>
      </c>
      <c r="AD14" s="16">
        <v>0.23</v>
      </c>
      <c r="AE14" s="16">
        <v>0.23</v>
      </c>
      <c r="AF14" s="8"/>
    </row>
    <row r="15" spans="1:32">
      <c r="B15" s="21" t="e">
        <f ca="1"/>
        <v>#NAME?</v>
      </c>
      <c r="C15" s="40" t="e">
        <f ca="1"/>
        <v>#NAME?</v>
      </c>
      <c r="D15" s="40" t="e">
        <f ca="1"/>
        <v>#NAME?</v>
      </c>
      <c r="E15" s="41" t="e">
        <f ca="1">_xll.DayCount(_xll.MarketRefDate($L$4),B15,"act/365")</f>
        <v>#NAME?</v>
      </c>
      <c r="F15" s="34" t="e">
        <f ca="1">_xll.BlackImpliedVol(D15,O15,E15,C15,"call")</f>
        <v>#NAME?</v>
      </c>
      <c r="G15" s="36" t="e">
        <f ca="1"/>
        <v>#NAME?</v>
      </c>
      <c r="H15" s="33" t="e">
        <f t="shared" ca="1" si="0"/>
        <v>#NAME?</v>
      </c>
      <c r="I15" s="33"/>
      <c r="J15" t="s">
        <v>25</v>
      </c>
      <c r="K15" s="21" t="e">
        <f ca="1">_xll.AddDuration(_xll.MarketRefDate($L$4),J15)</f>
        <v>#NAME?</v>
      </c>
      <c r="L15" s="7" t="s">
        <v>5</v>
      </c>
      <c r="M15" s="22" t="e">
        <f t="shared" ca="1" si="1"/>
        <v>#NAME?</v>
      </c>
      <c r="N15" s="7" t="s">
        <v>33</v>
      </c>
      <c r="O15" s="8">
        <v>1</v>
      </c>
      <c r="Q15" s="9" t="e">
        <f ca="1">_xll.AddDuration(Q14,"3m")</f>
        <v>#NAME?</v>
      </c>
      <c r="R15" s="11">
        <v>0</v>
      </c>
      <c r="S15" s="11">
        <v>0</v>
      </c>
      <c r="T15" s="7"/>
      <c r="U15" s="7"/>
      <c r="V15" s="7"/>
      <c r="W15" s="7"/>
      <c r="X15" s="15">
        <v>42422</v>
      </c>
      <c r="Y15" s="16">
        <v>0.23</v>
      </c>
      <c r="Z15" s="16">
        <v>0.23</v>
      </c>
      <c r="AA15" s="16">
        <v>0.23</v>
      </c>
      <c r="AB15" s="16">
        <v>0.23</v>
      </c>
      <c r="AC15" s="16">
        <v>0.23</v>
      </c>
      <c r="AD15" s="16">
        <v>0.23</v>
      </c>
      <c r="AE15" s="16">
        <v>0.23</v>
      </c>
      <c r="AF15" s="8"/>
    </row>
    <row r="16" spans="1:32">
      <c r="B16" s="21" t="e">
        <f ca="1"/>
        <v>#NAME?</v>
      </c>
      <c r="C16" s="40" t="e">
        <f ca="1"/>
        <v>#NAME?</v>
      </c>
      <c r="D16" s="40" t="e">
        <f ca="1"/>
        <v>#NAME?</v>
      </c>
      <c r="E16" s="41" t="e">
        <f ca="1">_xll.DayCount(_xll.MarketRefDate($L$4),B16,"act/365")</f>
        <v>#NAME?</v>
      </c>
      <c r="F16" s="34" t="e">
        <f ca="1">_xll.BlackImpliedVol(D16,O16,E16,C16,"call")</f>
        <v>#NAME?</v>
      </c>
      <c r="G16" s="36" t="e">
        <f ca="1"/>
        <v>#NAME?</v>
      </c>
      <c r="H16" s="33" t="e">
        <f t="shared" ca="1" si="0"/>
        <v>#NAME?</v>
      </c>
      <c r="I16" s="33"/>
      <c r="J16" t="s">
        <v>56</v>
      </c>
      <c r="K16" s="21" t="e">
        <f ca="1">_xll.AddDuration(_xll.MarketRefDate($L$4),J16)</f>
        <v>#NAME?</v>
      </c>
      <c r="L16" s="7" t="s">
        <v>5</v>
      </c>
      <c r="M16" s="22" t="e">
        <f t="shared" ca="1" si="1"/>
        <v>#NAME?</v>
      </c>
      <c r="N16" s="7" t="s">
        <v>33</v>
      </c>
      <c r="O16" s="8">
        <v>1</v>
      </c>
      <c r="Q16" s="9" t="e">
        <f ca="1">_xll.AddDuration(Q15,"3m")</f>
        <v>#NAME?</v>
      </c>
      <c r="R16" s="11">
        <v>0</v>
      </c>
      <c r="S16" s="11">
        <v>0</v>
      </c>
      <c r="T16" s="7"/>
      <c r="U16" s="7"/>
      <c r="V16" s="7"/>
      <c r="W16" s="7"/>
      <c r="X16" s="15">
        <v>42816</v>
      </c>
      <c r="Y16" s="16">
        <v>0.23</v>
      </c>
      <c r="Z16" s="16">
        <v>0.23</v>
      </c>
      <c r="AA16" s="16">
        <v>0.23</v>
      </c>
      <c r="AB16" s="16">
        <v>0.23</v>
      </c>
      <c r="AC16" s="16">
        <v>0.23</v>
      </c>
      <c r="AD16" s="16">
        <v>0.23</v>
      </c>
      <c r="AE16" s="16">
        <v>0.23</v>
      </c>
      <c r="AF16" s="8"/>
    </row>
    <row r="17" spans="2:32">
      <c r="B17" s="21" t="e">
        <f ca="1"/>
        <v>#NAME?</v>
      </c>
      <c r="C17" s="40" t="e">
        <f ca="1"/>
        <v>#NAME?</v>
      </c>
      <c r="D17" s="40" t="e">
        <f ca="1"/>
        <v>#NAME?</v>
      </c>
      <c r="E17" s="41" t="e">
        <f ca="1">_xll.DayCount(_xll.MarketRefDate($L$4),B17,"act/365")</f>
        <v>#NAME?</v>
      </c>
      <c r="F17" s="34" t="e">
        <f ca="1">_xll.BlackImpliedVol(D17,O17,E17,C17,"call")</f>
        <v>#NAME?</v>
      </c>
      <c r="G17" s="36" t="e">
        <f ca="1"/>
        <v>#NAME?</v>
      </c>
      <c r="H17" s="33" t="e">
        <f t="shared" ca="1" si="0"/>
        <v>#NAME?</v>
      </c>
      <c r="I17" s="33"/>
      <c r="J17" t="s">
        <v>57</v>
      </c>
      <c r="K17" s="21" t="e">
        <f ca="1">_xll.AddDuration(_xll.MarketRefDate($L$4),J17)</f>
        <v>#NAME?</v>
      </c>
      <c r="L17" s="7" t="s">
        <v>5</v>
      </c>
      <c r="M17" s="22" t="e">
        <f t="shared" ca="1" si="1"/>
        <v>#NAME?</v>
      </c>
      <c r="N17" s="7" t="s">
        <v>33</v>
      </c>
      <c r="O17" s="8">
        <v>1</v>
      </c>
      <c r="Q17" s="9" t="e">
        <f ca="1">_xll.AddDuration(Q16,"3m")</f>
        <v>#NAME?</v>
      </c>
      <c r="R17" s="11">
        <v>0</v>
      </c>
      <c r="S17" s="11">
        <v>0</v>
      </c>
      <c r="T17" s="7"/>
      <c r="U17" s="7"/>
      <c r="V17" s="7"/>
      <c r="W17" s="7"/>
      <c r="X17" s="7"/>
      <c r="Y17" s="11"/>
      <c r="Z17" s="11"/>
      <c r="AA17" s="7"/>
      <c r="AB17" s="7"/>
      <c r="AC17" s="7"/>
      <c r="AD17" s="7"/>
      <c r="AE17" s="7"/>
      <c r="AF17" s="8"/>
    </row>
    <row r="18" spans="2:32">
      <c r="B18" s="21" t="e">
        <f ca="1"/>
        <v>#NAME?</v>
      </c>
      <c r="C18" s="40" t="e">
        <f ca="1"/>
        <v>#NAME?</v>
      </c>
      <c r="D18" s="40" t="e">
        <f ca="1"/>
        <v>#NAME?</v>
      </c>
      <c r="E18" s="41" t="e">
        <f ca="1">_xll.DayCount(_xll.MarketRefDate($L$4),B18,"act/365")</f>
        <v>#NAME?</v>
      </c>
      <c r="F18" s="34" t="e">
        <f ca="1">_xll.BlackImpliedVol(D18,O18,E18,C18,"call")</f>
        <v>#NAME?</v>
      </c>
      <c r="G18" s="36" t="e">
        <f ca="1"/>
        <v>#NAME?</v>
      </c>
      <c r="H18" s="33" t="e">
        <f t="shared" ca="1" si="0"/>
        <v>#NAME?</v>
      </c>
      <c r="I18" s="33"/>
      <c r="J18" t="s">
        <v>26</v>
      </c>
      <c r="K18" s="21" t="e">
        <f ca="1">_xll.AddDuration(_xll.MarketRefDate($L$4),J18)</f>
        <v>#NAME?</v>
      </c>
      <c r="L18" s="7" t="s">
        <v>5</v>
      </c>
      <c r="M18" s="22" t="e">
        <f t="shared" ca="1" si="1"/>
        <v>#NAME?</v>
      </c>
      <c r="N18" s="7" t="s">
        <v>33</v>
      </c>
      <c r="O18" s="8">
        <v>1</v>
      </c>
      <c r="Q18" s="9" t="e">
        <f ca="1">_xll.AddDuration(Q17,"3m")</f>
        <v>#NAME?</v>
      </c>
      <c r="R18" s="11">
        <v>0</v>
      </c>
      <c r="S18" s="11">
        <v>0</v>
      </c>
      <c r="T18" s="7"/>
      <c r="U18" s="7"/>
      <c r="V18" s="7"/>
      <c r="W18" s="7"/>
      <c r="X18" s="7"/>
      <c r="Y18" s="11"/>
      <c r="Z18" s="11"/>
      <c r="AA18" s="7"/>
      <c r="AB18" s="7"/>
      <c r="AC18" s="7"/>
      <c r="AD18" s="7"/>
      <c r="AE18" s="7"/>
      <c r="AF18" s="8"/>
    </row>
    <row r="19" spans="2:32">
      <c r="B19" s="21" t="e">
        <f ca="1"/>
        <v>#NAME?</v>
      </c>
      <c r="C19" s="40" t="e">
        <f ca="1"/>
        <v>#NAME?</v>
      </c>
      <c r="D19" s="40" t="e">
        <f ca="1"/>
        <v>#NAME?</v>
      </c>
      <c r="E19" s="41" t="e">
        <f ca="1">_xll.DayCount(_xll.MarketRefDate($L$4),B19,"act/365")</f>
        <v>#NAME?</v>
      </c>
      <c r="F19" s="34" t="e">
        <f ca="1">_xll.BlackImpliedVol(D19,O19,E19,C19,"call")</f>
        <v>#NAME?</v>
      </c>
      <c r="G19" s="36" t="e">
        <f ca="1"/>
        <v>#NAME?</v>
      </c>
      <c r="H19" s="33" t="e">
        <f t="shared" ca="1" si="0"/>
        <v>#NAME?</v>
      </c>
      <c r="I19" s="33"/>
      <c r="J19" t="s">
        <v>58</v>
      </c>
      <c r="K19" s="21" t="e">
        <f ca="1">_xll.AddDuration(_xll.MarketRefDate($L$4),J19)</f>
        <v>#NAME?</v>
      </c>
      <c r="L19" s="7" t="s">
        <v>5</v>
      </c>
      <c r="M19" s="22" t="e">
        <f t="shared" ca="1" si="1"/>
        <v>#NAME?</v>
      </c>
      <c r="N19" s="7" t="s">
        <v>33</v>
      </c>
      <c r="O19" s="8">
        <v>1</v>
      </c>
      <c r="Q19" s="9" t="e">
        <f ca="1">_xll.AddDuration(Q18,"3m")</f>
        <v>#NAME?</v>
      </c>
      <c r="R19" s="11">
        <v>0</v>
      </c>
      <c r="S19" s="11">
        <v>0</v>
      </c>
      <c r="T19" s="7"/>
      <c r="U19" s="7"/>
      <c r="V19" s="7"/>
      <c r="W19" s="7"/>
      <c r="X19" s="7"/>
      <c r="Y19" s="11"/>
      <c r="Z19" s="11"/>
      <c r="AA19" s="7"/>
      <c r="AB19" s="7"/>
      <c r="AC19" s="7"/>
      <c r="AD19" s="7"/>
      <c r="AE19" s="7"/>
      <c r="AF19" s="8"/>
    </row>
    <row r="20" spans="2:32">
      <c r="B20" s="21" t="e">
        <f ca="1"/>
        <v>#NAME?</v>
      </c>
      <c r="C20" s="40" t="e">
        <f ca="1"/>
        <v>#NAME?</v>
      </c>
      <c r="D20" s="40" t="e">
        <f ca="1"/>
        <v>#NAME?</v>
      </c>
      <c r="E20" s="41" t="e">
        <f ca="1">_xll.DayCount(_xll.MarketRefDate($L$4),B20,"act/365")</f>
        <v>#NAME?</v>
      </c>
      <c r="F20" s="34" t="e">
        <f ca="1">_xll.BlackImpliedVol(D20,O20,E20,C20,"call")</f>
        <v>#NAME?</v>
      </c>
      <c r="G20" s="36" t="e">
        <f ca="1"/>
        <v>#NAME?</v>
      </c>
      <c r="H20" s="33" t="e">
        <f t="shared" ca="1" si="0"/>
        <v>#NAME?</v>
      </c>
      <c r="I20" s="33"/>
      <c r="J20" t="s">
        <v>59</v>
      </c>
      <c r="K20" s="21" t="e">
        <f ca="1">_xll.AddDuration(_xll.MarketRefDate($L$4),J20)</f>
        <v>#NAME?</v>
      </c>
      <c r="L20" s="7" t="s">
        <v>5</v>
      </c>
      <c r="M20" s="22" t="e">
        <f t="shared" ca="1" si="1"/>
        <v>#NAME?</v>
      </c>
      <c r="N20" s="7" t="s">
        <v>33</v>
      </c>
      <c r="O20" s="8">
        <v>1</v>
      </c>
      <c r="Q20" s="9" t="e">
        <f ca="1">_xll.AddDuration(Q19,"3m")</f>
        <v>#NAME?</v>
      </c>
      <c r="R20" s="11">
        <v>0</v>
      </c>
      <c r="S20" s="11">
        <v>0</v>
      </c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8"/>
    </row>
    <row r="21" spans="2:32">
      <c r="B21" s="21" t="e">
        <f ca="1"/>
        <v>#NAME?</v>
      </c>
      <c r="C21" s="40" t="e">
        <f ca="1"/>
        <v>#NAME?</v>
      </c>
      <c r="D21" s="40" t="e">
        <f ca="1"/>
        <v>#NAME?</v>
      </c>
      <c r="E21" s="41" t="e">
        <f ca="1">_xll.DayCount(_xll.MarketRefDate($L$4),B21,"act/365")</f>
        <v>#NAME?</v>
      </c>
      <c r="F21" s="34" t="e">
        <f ca="1">_xll.BlackImpliedVol(D21,O21,E21,C21,"call")</f>
        <v>#NAME?</v>
      </c>
      <c r="G21" s="36" t="e">
        <f ca="1"/>
        <v>#NAME?</v>
      </c>
      <c r="H21" s="33" t="e">
        <f t="shared" ca="1" si="0"/>
        <v>#NAME?</v>
      </c>
      <c r="I21" s="33"/>
      <c r="J21" t="s">
        <v>60</v>
      </c>
      <c r="K21" s="21" t="e">
        <f ca="1">_xll.AddDuration(_xll.MarketRefDate($L$4),J21)</f>
        <v>#NAME?</v>
      </c>
      <c r="L21" s="7" t="s">
        <v>5</v>
      </c>
      <c r="M21" s="22" t="e">
        <f t="shared" ca="1" si="1"/>
        <v>#NAME?</v>
      </c>
      <c r="N21" s="7" t="s">
        <v>33</v>
      </c>
      <c r="O21" s="8">
        <v>1</v>
      </c>
      <c r="Q21" s="9" t="e">
        <f ca="1">_xll.AddDuration(Q20,"3m")</f>
        <v>#NAME?</v>
      </c>
      <c r="R21" s="11">
        <v>0</v>
      </c>
      <c r="S21" s="11">
        <v>0</v>
      </c>
      <c r="T21" s="7"/>
      <c r="U21" s="7"/>
      <c r="V21" s="7"/>
      <c r="W21" s="7"/>
      <c r="X21" s="7"/>
      <c r="Y21" s="7"/>
      <c r="Z21" s="7"/>
      <c r="AA21" s="7"/>
      <c r="AB21" s="10"/>
      <c r="AC21" s="7"/>
      <c r="AD21" s="7"/>
      <c r="AE21" s="7"/>
      <c r="AF21" s="8"/>
    </row>
    <row r="22" spans="2:32">
      <c r="B22" s="21" t="e">
        <f ca="1"/>
        <v>#NAME?</v>
      </c>
      <c r="C22" s="40" t="e">
        <f ca="1"/>
        <v>#NAME?</v>
      </c>
      <c r="D22" s="40" t="e">
        <f ca="1"/>
        <v>#NAME?</v>
      </c>
      <c r="E22" s="41" t="e">
        <f ca="1">_xll.DayCount(_xll.MarketRefDate($L$4),B22,"act/365")</f>
        <v>#NAME?</v>
      </c>
      <c r="F22" s="34" t="e">
        <f ca="1">_xll.BlackImpliedVol(D22,O22,E22,C22,"call")</f>
        <v>#NAME?</v>
      </c>
      <c r="G22" s="36" t="e">
        <f ca="1"/>
        <v>#NAME?</v>
      </c>
      <c r="H22" s="33" t="e">
        <f t="shared" ca="1" si="0"/>
        <v>#NAME?</v>
      </c>
      <c r="I22" s="33"/>
      <c r="J22" t="s">
        <v>61</v>
      </c>
      <c r="K22" s="21" t="e">
        <f ca="1">_xll.AddDuration(_xll.MarketRefDate($L$4),J22)</f>
        <v>#NAME?</v>
      </c>
      <c r="L22" s="7" t="s">
        <v>5</v>
      </c>
      <c r="M22" s="22" t="e">
        <f t="shared" ca="1" si="1"/>
        <v>#NAME?</v>
      </c>
      <c r="N22" s="7" t="s">
        <v>33</v>
      </c>
      <c r="O22" s="8">
        <v>1</v>
      </c>
      <c r="Q22" s="9" t="e">
        <f ca="1">_xll.AddDuration(Q21,"3m")</f>
        <v>#NAME?</v>
      </c>
      <c r="R22" s="11">
        <v>0</v>
      </c>
      <c r="S22" s="11">
        <v>0</v>
      </c>
      <c r="T22" s="29"/>
      <c r="U22" s="29"/>
      <c r="V22" s="29"/>
      <c r="W22" s="29"/>
      <c r="X22" s="29"/>
      <c r="Y22" s="7"/>
      <c r="Z22" s="7"/>
      <c r="AA22" s="7"/>
      <c r="AB22" s="10"/>
      <c r="AC22" s="7"/>
      <c r="AD22" s="7"/>
      <c r="AE22" s="7"/>
      <c r="AF22" s="8"/>
    </row>
    <row r="23" spans="2:32">
      <c r="B23" s="21" t="e">
        <f ca="1"/>
        <v>#NAME?</v>
      </c>
      <c r="C23" s="40" t="e">
        <f ca="1"/>
        <v>#NAME?</v>
      </c>
      <c r="D23" s="40" t="e">
        <f ca="1"/>
        <v>#NAME?</v>
      </c>
      <c r="E23" s="41" t="e">
        <f ca="1">_xll.DayCount(_xll.MarketRefDate($L$4),B23,"act/365")</f>
        <v>#NAME?</v>
      </c>
      <c r="F23" s="34" t="e">
        <f ca="1">_xll.BlackImpliedVol(D23,O23,E23,C23,"call")</f>
        <v>#NAME?</v>
      </c>
      <c r="G23" s="36" t="e">
        <f ca="1"/>
        <v>#NAME?</v>
      </c>
      <c r="H23" s="33" t="e">
        <f t="shared" ca="1" si="0"/>
        <v>#NAME?</v>
      </c>
      <c r="I23" s="33"/>
      <c r="J23" t="s">
        <v>62</v>
      </c>
      <c r="K23" s="21" t="e">
        <f ca="1">_xll.AddDuration(_xll.MarketRefDate($L$4),J23)</f>
        <v>#NAME?</v>
      </c>
      <c r="L23" s="7" t="s">
        <v>5</v>
      </c>
      <c r="M23" s="22" t="e">
        <f t="shared" ca="1" si="1"/>
        <v>#NAME?</v>
      </c>
      <c r="N23" s="7" t="s">
        <v>33</v>
      </c>
      <c r="O23" s="8">
        <v>1</v>
      </c>
      <c r="Q23" s="9" t="e">
        <f ca="1">_xll.AddDuration(Q22,"3m")</f>
        <v>#NAME?</v>
      </c>
      <c r="R23" s="11">
        <v>0</v>
      </c>
      <c r="S23" s="11">
        <v>0</v>
      </c>
      <c r="T23" s="16"/>
      <c r="U23" s="16"/>
      <c r="V23" s="16"/>
      <c r="W23" s="16"/>
      <c r="X23" s="16"/>
      <c r="Y23" s="7"/>
      <c r="Z23" s="7"/>
      <c r="AA23" s="7"/>
      <c r="AB23" s="10"/>
      <c r="AC23" s="7"/>
      <c r="AD23" s="7"/>
      <c r="AE23" s="7"/>
      <c r="AF23" s="8"/>
    </row>
    <row r="24" spans="2:32">
      <c r="B24" s="21" t="e">
        <f ca="1"/>
        <v>#NAME?</v>
      </c>
      <c r="C24" s="40" t="e">
        <f ca="1"/>
        <v>#NAME?</v>
      </c>
      <c r="D24" s="40" t="e">
        <f ca="1"/>
        <v>#NAME?</v>
      </c>
      <c r="E24" s="41" t="e">
        <f ca="1">_xll.DayCount(_xll.MarketRefDate($L$4),B24,"act/365")</f>
        <v>#NAME?</v>
      </c>
      <c r="F24" s="34" t="e">
        <f ca="1">_xll.BlackImpliedVol(D24,O24,E24,C24,"call")</f>
        <v>#NAME?</v>
      </c>
      <c r="G24" s="36" t="e">
        <f ca="1"/>
        <v>#NAME?</v>
      </c>
      <c r="H24" s="33" t="e">
        <f t="shared" ca="1" si="0"/>
        <v>#NAME?</v>
      </c>
      <c r="I24" s="33"/>
      <c r="J24" t="s">
        <v>63</v>
      </c>
      <c r="K24" s="21" t="e">
        <f ca="1">_xll.AddDuration(_xll.MarketRefDate($L$4),J24)</f>
        <v>#NAME?</v>
      </c>
      <c r="L24" s="7" t="s">
        <v>5</v>
      </c>
      <c r="M24" s="22" t="e">
        <f t="shared" ca="1" si="1"/>
        <v>#NAME?</v>
      </c>
      <c r="N24" s="7" t="s">
        <v>33</v>
      </c>
      <c r="O24" s="8">
        <v>1</v>
      </c>
      <c r="Q24" s="9" t="e">
        <f ca="1">_xll.AddDuration(Q23,"3m")</f>
        <v>#NAME?</v>
      </c>
      <c r="R24" s="11">
        <v>0</v>
      </c>
      <c r="S24" s="11">
        <v>0</v>
      </c>
      <c r="T24" s="16"/>
      <c r="U24" s="16"/>
      <c r="V24" s="16"/>
      <c r="W24" s="16"/>
      <c r="X24" s="16"/>
      <c r="Y24" s="7"/>
      <c r="Z24" s="7"/>
      <c r="AA24" s="7"/>
      <c r="AB24" s="10"/>
      <c r="AC24" s="7"/>
      <c r="AD24" s="7"/>
      <c r="AE24" s="7"/>
      <c r="AF24" s="8"/>
    </row>
    <row r="25" spans="2:32">
      <c r="B25" s="21" t="e">
        <f ca="1"/>
        <v>#NAME?</v>
      </c>
      <c r="C25" s="40" t="e">
        <f ca="1"/>
        <v>#NAME?</v>
      </c>
      <c r="D25" s="40" t="e">
        <f ca="1"/>
        <v>#NAME?</v>
      </c>
      <c r="E25" s="41" t="e">
        <f ca="1">_xll.DayCount(_xll.MarketRefDate($L$4),B25,"act/365")</f>
        <v>#NAME?</v>
      </c>
      <c r="F25" s="34" t="e">
        <f ca="1">_xll.BlackImpliedVol(D25,O25,E25,C25,"call")</f>
        <v>#NAME?</v>
      </c>
      <c r="G25" s="36" t="e">
        <f ca="1"/>
        <v>#NAME?</v>
      </c>
      <c r="H25" s="33" t="e">
        <f t="shared" ca="1" si="0"/>
        <v>#NAME?</v>
      </c>
      <c r="I25" s="33"/>
      <c r="J25" t="s">
        <v>64</v>
      </c>
      <c r="K25" s="21" t="e">
        <f ca="1">_xll.AddDuration(_xll.MarketRefDate($L$4),J25)</f>
        <v>#NAME?</v>
      </c>
      <c r="L25" s="7" t="s">
        <v>5</v>
      </c>
      <c r="M25" s="22" t="e">
        <f t="shared" ca="1" si="1"/>
        <v>#NAME?</v>
      </c>
      <c r="N25" s="7" t="s">
        <v>33</v>
      </c>
      <c r="O25" s="8">
        <v>1</v>
      </c>
      <c r="Q25" s="9" t="e">
        <f ca="1">_xll.AddDuration(Q24,"3m")</f>
        <v>#NAME?</v>
      </c>
      <c r="R25" s="11">
        <v>0</v>
      </c>
      <c r="S25" s="11">
        <v>0</v>
      </c>
      <c r="T25" s="16"/>
      <c r="U25" s="16"/>
      <c r="V25" s="16"/>
      <c r="W25" s="16"/>
      <c r="X25" s="16"/>
      <c r="Y25" s="7"/>
      <c r="Z25" s="7"/>
      <c r="AA25" s="7"/>
      <c r="AB25" s="7"/>
      <c r="AC25" s="7"/>
      <c r="AD25" s="7"/>
      <c r="AE25" s="7"/>
      <c r="AF25" s="8"/>
    </row>
    <row r="26" spans="2:32">
      <c r="B26" s="21" t="e">
        <f ca="1"/>
        <v>#NAME?</v>
      </c>
      <c r="C26" s="40" t="e">
        <f ca="1"/>
        <v>#NAME?</v>
      </c>
      <c r="D26" s="40" t="e">
        <f ca="1"/>
        <v>#NAME?</v>
      </c>
      <c r="E26" s="41" t="e">
        <f ca="1">_xll.DayCount(_xll.MarketRefDate($L$4),B26,"act/365")</f>
        <v>#NAME?</v>
      </c>
      <c r="F26" s="34" t="e">
        <f ca="1">_xll.BlackImpliedVol(D26,O26,E26,C26,"call")</f>
        <v>#NAME?</v>
      </c>
      <c r="G26" s="36" t="e">
        <f ca="1"/>
        <v>#NAME?</v>
      </c>
      <c r="H26" s="33" t="e">
        <f t="shared" ca="1" si="0"/>
        <v>#NAME?</v>
      </c>
      <c r="I26" s="33"/>
      <c r="J26" t="s">
        <v>65</v>
      </c>
      <c r="K26" s="21" t="e">
        <f ca="1">_xll.AddDuration(_xll.MarketRefDate($L$4),J26)</f>
        <v>#NAME?</v>
      </c>
      <c r="L26" s="7" t="s">
        <v>5</v>
      </c>
      <c r="M26" s="22" t="e">
        <f t="shared" ca="1" si="1"/>
        <v>#NAME?</v>
      </c>
      <c r="N26" s="7" t="s">
        <v>33</v>
      </c>
      <c r="O26" s="8">
        <v>1</v>
      </c>
      <c r="Q26" s="9" t="e">
        <f ca="1">_xll.AddDuration(Q25,"3m")</f>
        <v>#NAME?</v>
      </c>
      <c r="R26" s="11">
        <v>0</v>
      </c>
      <c r="S26" s="11">
        <v>0</v>
      </c>
      <c r="T26" s="16"/>
      <c r="U26" s="16"/>
      <c r="V26" s="16"/>
      <c r="W26" s="16"/>
      <c r="X26" s="16"/>
      <c r="Y26" s="7"/>
      <c r="Z26" s="7"/>
      <c r="AA26" s="7"/>
      <c r="AB26" s="7"/>
      <c r="AC26" s="7"/>
      <c r="AD26" s="7"/>
      <c r="AE26" s="7"/>
      <c r="AF26" s="8"/>
    </row>
    <row r="27" spans="2:32">
      <c r="B27" s="21" t="e">
        <f ca="1"/>
        <v>#NAME?</v>
      </c>
      <c r="C27" s="40" t="e">
        <f ca="1"/>
        <v>#NAME?</v>
      </c>
      <c r="D27" s="40" t="e">
        <f ca="1"/>
        <v>#NAME?</v>
      </c>
      <c r="E27" s="41" t="e">
        <f ca="1">_xll.DayCount(_xll.MarketRefDate($L$4),B27,"act/365")</f>
        <v>#NAME?</v>
      </c>
      <c r="F27" s="34" t="e">
        <f ca="1">_xll.BlackImpliedVol(D27,O27,E27,C27,"call")</f>
        <v>#NAME?</v>
      </c>
      <c r="G27" s="36" t="e">
        <f ca="1"/>
        <v>#NAME?</v>
      </c>
      <c r="H27" s="33" t="e">
        <f t="shared" ca="1" si="0"/>
        <v>#NAME?</v>
      </c>
      <c r="I27" s="33"/>
      <c r="J27" t="s">
        <v>66</v>
      </c>
      <c r="K27" s="21" t="e">
        <f ca="1">_xll.AddDuration(_xll.MarketRefDate($L$4),J27)</f>
        <v>#NAME?</v>
      </c>
      <c r="L27" s="7" t="s">
        <v>5</v>
      </c>
      <c r="M27" s="22" t="e">
        <f t="shared" ca="1" si="1"/>
        <v>#NAME?</v>
      </c>
      <c r="N27" s="7" t="s">
        <v>33</v>
      </c>
      <c r="O27" s="8">
        <v>1</v>
      </c>
      <c r="Q27" s="9" t="e">
        <f ca="1">_xll.AddDuration(Q26,"3m")</f>
        <v>#NAME?</v>
      </c>
      <c r="R27" s="11">
        <v>0</v>
      </c>
      <c r="S27" s="11">
        <v>0</v>
      </c>
      <c r="T27" s="16"/>
      <c r="U27" s="16"/>
      <c r="V27" s="16"/>
      <c r="W27" s="16"/>
      <c r="X27" s="16"/>
      <c r="Y27" s="7"/>
      <c r="Z27" s="7"/>
      <c r="AA27" s="7"/>
      <c r="AB27" s="7"/>
      <c r="AC27" s="7"/>
      <c r="AD27" s="7"/>
      <c r="AE27" s="7"/>
      <c r="AF27" s="8"/>
    </row>
    <row r="28" spans="2:32">
      <c r="B28" s="21" t="e">
        <f ca="1"/>
        <v>#NAME?</v>
      </c>
      <c r="C28" s="40" t="e">
        <f ca="1"/>
        <v>#NAME?</v>
      </c>
      <c r="D28" s="40" t="e">
        <f ca="1"/>
        <v>#NAME?</v>
      </c>
      <c r="E28" s="41" t="e">
        <f ca="1">_xll.DayCount(_xll.MarketRefDate($L$4),B28,"act/365")</f>
        <v>#NAME?</v>
      </c>
      <c r="F28" s="34" t="e">
        <f ca="1">_xll.BlackImpliedVol(D28,O28,E28,C28,"call")</f>
        <v>#NAME?</v>
      </c>
      <c r="G28" s="36" t="e">
        <f ca="1"/>
        <v>#NAME?</v>
      </c>
      <c r="H28" s="33" t="e">
        <f t="shared" ca="1" si="0"/>
        <v>#NAME?</v>
      </c>
      <c r="I28" s="33"/>
      <c r="J28" t="s">
        <v>67</v>
      </c>
      <c r="K28" s="21" t="e">
        <f ca="1">_xll.AddDuration(_xll.MarketRefDate($L$4),J28)</f>
        <v>#NAME?</v>
      </c>
      <c r="L28" s="7" t="s">
        <v>5</v>
      </c>
      <c r="M28" s="22" t="e">
        <f t="shared" ca="1" si="1"/>
        <v>#NAME?</v>
      </c>
      <c r="N28" s="7" t="s">
        <v>33</v>
      </c>
      <c r="O28" s="8">
        <v>1</v>
      </c>
      <c r="Q28" s="9" t="e">
        <f ca="1">_xll.AddDuration(Q27,"3m")</f>
        <v>#NAME?</v>
      </c>
      <c r="R28" s="11">
        <v>0</v>
      </c>
      <c r="S28" s="11">
        <v>0</v>
      </c>
      <c r="T28" s="16"/>
      <c r="U28" s="16"/>
      <c r="V28" s="16"/>
      <c r="W28" s="16"/>
      <c r="X28" s="16"/>
      <c r="Y28" s="7"/>
      <c r="Z28" s="7"/>
      <c r="AA28" s="7"/>
      <c r="AB28" s="7"/>
      <c r="AC28" s="7"/>
      <c r="AD28" s="7"/>
      <c r="AE28" s="7"/>
      <c r="AF28" s="8"/>
    </row>
    <row r="29" spans="2:32">
      <c r="B29" s="21" t="e">
        <f ca="1"/>
        <v>#NAME?</v>
      </c>
      <c r="C29" s="40" t="e">
        <f ca="1"/>
        <v>#NAME?</v>
      </c>
      <c r="D29" s="40" t="e">
        <f ca="1"/>
        <v>#NAME?</v>
      </c>
      <c r="E29" s="41" t="e">
        <f ca="1">_xll.DayCount(_xll.MarketRefDate($L$4),B29,"act/365")</f>
        <v>#NAME?</v>
      </c>
      <c r="F29" s="34" t="e">
        <f ca="1">_xll.BlackImpliedVol(D29,O29,E29,C29,"call")</f>
        <v>#NAME?</v>
      </c>
      <c r="G29" s="36" t="e">
        <f ca="1"/>
        <v>#NAME?</v>
      </c>
      <c r="H29" s="33" t="e">
        <f t="shared" ca="1" si="0"/>
        <v>#NAME?</v>
      </c>
      <c r="I29" s="33"/>
      <c r="J29" t="s">
        <v>68</v>
      </c>
      <c r="K29" s="21" t="e">
        <f ca="1">_xll.AddDuration(_xll.MarketRefDate($L$4),J29)</f>
        <v>#NAME?</v>
      </c>
      <c r="L29" s="7" t="s">
        <v>5</v>
      </c>
      <c r="M29" s="22" t="e">
        <f t="shared" ca="1" si="1"/>
        <v>#NAME?</v>
      </c>
      <c r="N29" s="7" t="s">
        <v>33</v>
      </c>
      <c r="O29" s="8">
        <v>1</v>
      </c>
      <c r="Q29" s="9" t="e">
        <f ca="1">_xll.AddDuration(Q28,"3m")</f>
        <v>#NAME?</v>
      </c>
      <c r="R29" s="11">
        <v>0</v>
      </c>
      <c r="S29" s="11">
        <v>0</v>
      </c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8"/>
    </row>
    <row r="30" spans="2:32">
      <c r="B30" s="25" t="e">
        <f ca="1"/>
        <v>#NAME?</v>
      </c>
      <c r="C30" s="45" t="e">
        <f ca="1"/>
        <v>#NAME?</v>
      </c>
      <c r="D30" s="45" t="e">
        <f ca="1"/>
        <v>#NAME?</v>
      </c>
      <c r="E30" s="46" t="e">
        <f ca="1">_xll.DayCount(_xll.MarketRefDate($L$4),B30,"act/365")</f>
        <v>#NAME?</v>
      </c>
      <c r="F30" s="35" t="e">
        <f ca="1">_xll.BlackImpliedVol(D30,O30,E30,C30,"call")</f>
        <v>#NAME?</v>
      </c>
      <c r="G30" s="44" t="e">
        <f ca="1"/>
        <v>#NAME?</v>
      </c>
      <c r="H30" s="33" t="e">
        <f t="shared" ca="1" si="0"/>
        <v>#NAME?</v>
      </c>
      <c r="I30" s="33"/>
      <c r="J30" t="s">
        <v>9</v>
      </c>
      <c r="K30" s="21" t="e">
        <f ca="1">_xll.AddDuration(_xll.MarketRefDate($L$4),J30)</f>
        <v>#NAME?</v>
      </c>
      <c r="L30" s="7" t="s">
        <v>5</v>
      </c>
      <c r="M30" s="22" t="e">
        <f t="shared" ca="1" si="1"/>
        <v>#NAME?</v>
      </c>
      <c r="N30" s="7" t="s">
        <v>33</v>
      </c>
      <c r="O30" s="8">
        <v>1</v>
      </c>
      <c r="Q30" s="9" t="e">
        <f ca="1">_xll.AddDuration(Q29,"3m")</f>
        <v>#NAME?</v>
      </c>
      <c r="R30" s="11">
        <v>0</v>
      </c>
      <c r="S30" s="11">
        <v>0</v>
      </c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8"/>
    </row>
    <row r="31" spans="2:32">
      <c r="K31" s="12"/>
      <c r="L31" s="13"/>
      <c r="M31" s="13"/>
      <c r="N31" s="13"/>
      <c r="O31" s="14"/>
      <c r="Q31" s="9" t="e">
        <f ca="1">_xll.AddDuration(Q30,"3m")</f>
        <v>#NAME?</v>
      </c>
      <c r="R31" s="11">
        <v>0</v>
      </c>
      <c r="S31" s="11">
        <v>0</v>
      </c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8"/>
    </row>
    <row r="32" spans="2:32">
      <c r="Q32" s="9" t="e">
        <f ca="1">_xll.AddDuration(Q31,"3m")</f>
        <v>#NAME?</v>
      </c>
      <c r="R32" s="11">
        <v>0</v>
      </c>
      <c r="S32" s="11">
        <v>0</v>
      </c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8"/>
    </row>
    <row r="33" spans="17:32">
      <c r="Q33" s="9" t="e">
        <f ca="1">_xll.AddDuration(Q32,"3m")</f>
        <v>#NAME?</v>
      </c>
      <c r="R33" s="11">
        <v>0</v>
      </c>
      <c r="S33" s="11">
        <v>0</v>
      </c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8"/>
    </row>
    <row r="34" spans="17:32">
      <c r="Q34" s="9" t="e">
        <f ca="1">_xll.AddDuration(Q33,"3m")</f>
        <v>#NAME?</v>
      </c>
      <c r="R34" s="11">
        <v>0</v>
      </c>
      <c r="S34" s="11">
        <v>0</v>
      </c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8"/>
    </row>
    <row r="35" spans="17:32">
      <c r="Q35" s="9" t="e">
        <f ca="1">_xll.AddDuration(Q34,"3m")</f>
        <v>#NAME?</v>
      </c>
      <c r="R35" s="11">
        <v>0</v>
      </c>
      <c r="S35" s="11">
        <v>0</v>
      </c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8"/>
    </row>
    <row r="36" spans="17:32">
      <c r="Q36" s="9" t="e">
        <f ca="1">_xll.AddDuration(Q35,"3m")</f>
        <v>#NAME?</v>
      </c>
      <c r="R36" s="11">
        <v>0</v>
      </c>
      <c r="S36" s="11">
        <v>0</v>
      </c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8"/>
    </row>
    <row r="37" spans="17:32">
      <c r="Q37" s="9" t="e">
        <f ca="1">_xll.AddDuration(Q36,"3m")</f>
        <v>#NAME?</v>
      </c>
      <c r="R37" s="11">
        <v>0</v>
      </c>
      <c r="S37" s="11">
        <v>0</v>
      </c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8"/>
    </row>
    <row r="38" spans="17:32">
      <c r="Q38" s="9" t="e">
        <f ca="1">_xll.AddDuration(Q37,"3m")</f>
        <v>#NAME?</v>
      </c>
      <c r="R38" s="11">
        <v>0</v>
      </c>
      <c r="S38" s="11">
        <v>0</v>
      </c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8"/>
    </row>
    <row r="39" spans="17:32">
      <c r="Q39" s="9" t="e">
        <f ca="1">_xll.AddDuration(Q38,"3m")</f>
        <v>#NAME?</v>
      </c>
      <c r="R39" s="11">
        <v>0</v>
      </c>
      <c r="S39" s="11">
        <v>0</v>
      </c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8"/>
    </row>
    <row r="40" spans="17:32">
      <c r="Q40" s="9" t="e">
        <f ca="1">_xll.AddDuration(Q39,"3m")</f>
        <v>#NAME?</v>
      </c>
      <c r="R40" s="11">
        <v>0</v>
      </c>
      <c r="S40" s="11">
        <v>0</v>
      </c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8"/>
    </row>
    <row r="41" spans="17:32">
      <c r="Q41" s="9" t="e">
        <f ca="1">_xll.AddDuration(Q40,"3m")</f>
        <v>#NAME?</v>
      </c>
      <c r="R41" s="11">
        <v>0</v>
      </c>
      <c r="S41" s="11">
        <v>0</v>
      </c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8"/>
    </row>
    <row r="42" spans="17:32">
      <c r="Q42" s="9" t="e">
        <f ca="1">_xll.AddDuration(Q41,"3m")</f>
        <v>#NAME?</v>
      </c>
      <c r="R42" s="11">
        <v>0</v>
      </c>
      <c r="S42" s="11">
        <v>0</v>
      </c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8"/>
    </row>
    <row r="43" spans="17:32">
      <c r="Q43" s="9" t="e">
        <f ca="1">_xll.AddDuration(Q42,"3m")</f>
        <v>#NAME?</v>
      </c>
      <c r="R43" s="11">
        <v>0</v>
      </c>
      <c r="S43" s="11">
        <v>0</v>
      </c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8"/>
    </row>
    <row r="44" spans="17:32">
      <c r="Q44" s="9" t="e">
        <f ca="1">_xll.AddDuration(Q43,"3m")</f>
        <v>#NAME?</v>
      </c>
      <c r="R44" s="11">
        <v>0</v>
      </c>
      <c r="S44" s="11">
        <v>0</v>
      </c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8"/>
    </row>
    <row r="45" spans="17:32">
      <c r="Q45" s="9" t="e">
        <f ca="1">_xll.AddDuration(Q44,"3m")</f>
        <v>#NAME?</v>
      </c>
      <c r="R45" s="11">
        <v>0</v>
      </c>
      <c r="S45" s="11">
        <v>0</v>
      </c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8"/>
    </row>
    <row r="46" spans="17:32">
      <c r="Q46" s="12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4"/>
    </row>
  </sheetData>
  <hyperlinks>
    <hyperlink ref="L8" r:id="rId1" display="Stock@FixingDate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</vt:i4>
      </vt:variant>
    </vt:vector>
  </HeadingPairs>
  <TitlesOfParts>
    <vt:vector size="5" baseType="lpstr">
      <vt:lpstr>Test</vt:lpstr>
      <vt:lpstr>Fwd</vt:lpstr>
      <vt:lpstr>ImpliedVolNoDiv</vt:lpstr>
      <vt:lpstr>FlatMkt</vt:lpstr>
      <vt:lpstr>ImpliedVolNoDiv!FlatNoDivMkt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2015-04-16T19:25:27Z</dcterms:created>
  <dcterms:modified xsi:type="dcterms:W3CDTF">2015-10-21T06:42:43Z</dcterms:modified>
</cp:coreProperties>
</file>