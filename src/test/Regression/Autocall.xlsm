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1"/>
  </bookViews>
  <sheets>
    <sheet name="Test" sheetId="2" r:id="rId1"/>
    <sheet name="Autocall" sheetId="8" r:id="rId2"/>
    <sheet name="Market" sheetId="9" r:id="rId3"/>
  </sheets>
  <definedNames>
    <definedName name="Market">Market!$B$2:$V$29</definedName>
  </definedNames>
  <calcPr calcId="125725" calcMode="manual" calcOnSave="0"/>
</workbook>
</file>

<file path=xl/calcChain.xml><?xml version="1.0" encoding="utf-8"?>
<calcChain xmlns="http://schemas.openxmlformats.org/spreadsheetml/2006/main">
  <c r="C19" i="8" a="1"/>
  <c r="C2" a="1"/>
  <c r="C2" l="1"/>
  <c r="C20"/>
  <c r="C22"/>
  <c r="C24"/>
  <c r="C26"/>
  <c r="C28"/>
  <c r="C32"/>
  <c r="C38"/>
  <c r="D19"/>
  <c r="D21"/>
  <c r="D23"/>
  <c r="D25"/>
  <c r="D27"/>
  <c r="D29"/>
  <c r="D31"/>
  <c r="D33"/>
  <c r="D35"/>
  <c r="D37"/>
  <c r="D39"/>
  <c r="D41"/>
  <c r="C19"/>
  <c r="C21"/>
  <c r="C23"/>
  <c r="C25"/>
  <c r="C27"/>
  <c r="C29"/>
  <c r="C31"/>
  <c r="C33"/>
  <c r="C35"/>
  <c r="C37"/>
  <c r="C39"/>
  <c r="C41"/>
  <c r="D20"/>
  <c r="D22"/>
  <c r="D24"/>
  <c r="D26"/>
  <c r="D28"/>
  <c r="D30"/>
  <c r="D32"/>
  <c r="D34"/>
  <c r="D36"/>
  <c r="D38"/>
  <c r="D40"/>
  <c r="C30"/>
  <c r="C34"/>
  <c r="C36"/>
  <c r="C40"/>
</calcChain>
</file>

<file path=xl/sharedStrings.xml><?xml version="1.0" encoding="utf-8"?>
<sst xmlns="http://schemas.openxmlformats.org/spreadsheetml/2006/main" count="104" uniqueCount="77">
  <si>
    <t>RefDate</t>
  </si>
  <si>
    <t>Asset</t>
  </si>
  <si>
    <t>Spot</t>
  </si>
  <si>
    <t>Currency</t>
  </si>
  <si>
    <t>EUR</t>
  </si>
  <si>
    <t>Repo</t>
  </si>
  <si>
    <t>1y</t>
  </si>
  <si>
    <t>2y</t>
  </si>
  <si>
    <t>5y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</si>
  <si>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</si>
  <si>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</si>
  <si>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</si>
  <si>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</si>
  <si>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</si>
  <si>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</si>
  <si>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</si>
  <si>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</si>
  <si>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</si>
  <si>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</si>
  <si>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</si>
  <si>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</si>
  <si>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</si>
  <si>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</si>
  <si>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</si>
  <si>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</si>
  <si>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</si>
  <si>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</si>
  <si>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</si>
  <si>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ProductName</t>
  </si>
  <si>
    <t>CallCouponScript</t>
  </si>
  <si>
    <t>CallPayDate</t>
  </si>
  <si>
    <t>Stock</t>
  </si>
  <si>
    <t>FixingDate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</si>
  <si>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</si>
  <si>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</si>
  <si>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</si>
  <si>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</si>
  <si>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</si>
  <si>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</si>
  <si>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</si>
  <si>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</si>
  <si>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MarketId</t>
  </si>
  <si>
    <t>Strike</t>
  </si>
  <si>
    <t>Autocall[CallLeg]</t>
  </si>
  <si>
    <t>AutocallDate</t>
  </si>
  <si>
    <t>CallPayCurrency</t>
  </si>
  <si>
    <t>Redemption</t>
  </si>
  <si>
    <t>AutocallTrigger</t>
  </si>
  <si>
    <t>Barrier</t>
  </si>
  <si>
    <t>RedemptionDate</t>
  </si>
  <si>
    <t>RedemptionCurrency</t>
  </si>
  <si>
    <t>(Stock@AutoCallDate) &gt; Barrier ? 1 : 0</t>
  </si>
  <si>
    <t>STOX5E</t>
  </si>
  <si>
    <t>Dividend.STOX5E</t>
  </si>
  <si>
    <t>Vol.STOX5E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</si>
  <si>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</si>
  <si>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</si>
  <si>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</si>
  <si>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</si>
  <si>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</si>
  <si>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</si>
  <si>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</si>
  <si>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</si>
  <si>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</si>
  <si>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</si>
  <si>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</si>
  <si>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</si>
  <si>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</si>
  <si>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</si>
  <si>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</si>
  <si>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asset(STOX5E,EUR)</t>
  </si>
  <si>
    <t>1-Max(0, Strike - Stock@FixingDate)</t>
  </si>
  <si>
    <t>1.10</t>
  </si>
  <si>
    <t>Autocall</t>
  </si>
  <si>
    <t>D19</t>
  </si>
  <si>
    <t>RefPrice</t>
  </si>
  <si>
    <t>D17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</si>
</sst>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_-* #,##0.00000000\ _€_-;\-* #,##0.0000000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0" fontId="2" fillId="2" borderId="2" xfId="0" applyFont="1" applyFill="1" applyBorder="1"/>
    <xf numFmtId="9" fontId="0" fillId="2" borderId="0" xfId="1" applyNumberFormat="1" applyFont="1" applyFill="1" applyBorder="1"/>
    <xf numFmtId="0" fontId="2" fillId="2" borderId="0" xfId="0" applyFont="1" applyFill="1"/>
    <xf numFmtId="0" fontId="0" fillId="2" borderId="0" xfId="0" applyFill="1"/>
    <xf numFmtId="10" fontId="0" fillId="0" borderId="0" xfId="1" applyNumberFormat="1" applyFont="1"/>
    <xf numFmtId="49" fontId="0" fillId="2" borderId="2" xfId="0" applyNumberFormat="1" applyFill="1" applyBorder="1"/>
    <xf numFmtId="49" fontId="0" fillId="2" borderId="0" xfId="0" applyNumberFormat="1" applyFill="1" applyBorder="1"/>
    <xf numFmtId="49" fontId="2" fillId="2" borderId="0" xfId="0" applyNumberFormat="1" applyFont="1" applyFill="1" applyBorder="1"/>
    <xf numFmtId="49" fontId="0" fillId="2" borderId="7" xfId="0" applyNumberFormat="1" applyFill="1" applyBorder="1"/>
    <xf numFmtId="0" fontId="2" fillId="2" borderId="9" xfId="0" applyFont="1" applyFill="1" applyBorder="1"/>
    <xf numFmtId="166" fontId="0" fillId="2" borderId="3" xfId="2" applyNumberFormat="1" applyFont="1" applyFill="1" applyBorder="1"/>
    <xf numFmtId="166" fontId="0" fillId="2" borderId="10" xfId="2" applyNumberFormat="1" applyFont="1" applyFill="1" applyBorder="1"/>
    <xf numFmtId="166" fontId="0" fillId="0" borderId="0" xfId="2" applyNumberFormat="1" applyFont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A2" sqref="A2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14</v>
      </c>
      <c r="B1" t="s">
        <v>16</v>
      </c>
      <c r="C1" t="s">
        <v>15</v>
      </c>
      <c r="D1" t="s">
        <v>17</v>
      </c>
      <c r="E1" t="s">
        <v>18</v>
      </c>
      <c r="F1" t="s">
        <v>19</v>
      </c>
    </row>
    <row r="2" spans="1:6">
      <c r="A2" t="s">
        <v>73</v>
      </c>
      <c r="B2" t="s">
        <v>20</v>
      </c>
      <c r="C2" t="s">
        <v>74</v>
      </c>
      <c r="D2" t="s">
        <v>73</v>
      </c>
      <c r="E2" t="s">
        <v>76</v>
      </c>
      <c r="F2" s="1">
        <v>1.0000000000000001E-9</v>
      </c>
    </row>
    <row r="3" spans="1:6">
      <c r="F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R41"/>
  <sheetViews>
    <sheetView tabSelected="1" zoomScale="85" zoomScaleNormal="85" workbookViewId="0">
      <selection activeCell="F15" sqref="F15"/>
    </sheetView>
  </sheetViews>
  <sheetFormatPr baseColWidth="10" defaultRowHeight="15"/>
  <cols>
    <col min="3" max="3" width="16.28515625" bestFit="1" customWidth="1"/>
    <col min="4" max="4" width="25.5703125" bestFit="1" customWidth="1"/>
    <col min="5" max="5" width="11.7109375" bestFit="1" customWidth="1"/>
    <col min="6" max="6" width="19.85546875" bestFit="1" customWidth="1"/>
    <col min="7" max="7" width="16" customWidth="1"/>
    <col min="9" max="9" width="20.140625" bestFit="1" customWidth="1"/>
    <col min="10" max="10" width="6.140625" bestFit="1" customWidth="1"/>
    <col min="11" max="11" width="4.28515625" customWidth="1"/>
    <col min="12" max="12" width="12.42578125" bestFit="1" customWidth="1"/>
    <col min="13" max="13" width="12" bestFit="1" customWidth="1"/>
    <col min="14" max="14" width="16.28515625" bestFit="1" customWidth="1"/>
    <col min="15" max="15" width="20.140625" bestFit="1" customWidth="1"/>
    <col min="16" max="16" width="35.5703125" bestFit="1" customWidth="1"/>
    <col min="17" max="17" width="7" bestFit="1" customWidth="1"/>
    <col min="18" max="18" width="20.140625" bestFit="1" customWidth="1"/>
  </cols>
  <sheetData>
    <row r="2" spans="2:7">
      <c r="B2" s="29" t="s">
        <v>41</v>
      </c>
      <c r="C2" s="30" t="e">
        <f t="array" aca="1" ref="C2" ca="1">IF(_xll.SetMarket("mkt",Market), "mkt", "FAILED")</f>
        <v>#NAME?</v>
      </c>
    </row>
    <row r="5" spans="2:7">
      <c r="B5" s="17" t="s">
        <v>33</v>
      </c>
      <c r="C5" s="5" t="s">
        <v>34</v>
      </c>
      <c r="D5" s="17" t="s">
        <v>38</v>
      </c>
      <c r="E5" s="5" t="s">
        <v>39</v>
      </c>
    </row>
    <row r="6" spans="2:7">
      <c r="B6" s="18" t="s">
        <v>1</v>
      </c>
      <c r="C6" s="8" t="s">
        <v>52</v>
      </c>
      <c r="D6" s="6"/>
      <c r="E6" s="8"/>
    </row>
    <row r="7" spans="2:7">
      <c r="B7" s="6"/>
      <c r="C7" s="8"/>
      <c r="D7" s="18" t="s">
        <v>40</v>
      </c>
      <c r="E7" s="23">
        <v>100000</v>
      </c>
    </row>
    <row r="8" spans="2:7">
      <c r="B8" s="18" t="s">
        <v>35</v>
      </c>
      <c r="C8" s="22" t="s">
        <v>37</v>
      </c>
      <c r="D8" s="6"/>
      <c r="E8" s="8"/>
    </row>
    <row r="9" spans="2:7">
      <c r="B9" s="6" t="s">
        <v>21</v>
      </c>
      <c r="C9" s="11">
        <v>0.25</v>
      </c>
      <c r="D9" s="6"/>
      <c r="E9" s="8"/>
    </row>
    <row r="10" spans="2:7">
      <c r="B10" s="6" t="s">
        <v>22</v>
      </c>
      <c r="C10" s="11">
        <v>0.25</v>
      </c>
      <c r="D10" s="6"/>
      <c r="E10" s="8"/>
    </row>
    <row r="11" spans="2:7">
      <c r="B11" s="6" t="s">
        <v>23</v>
      </c>
      <c r="C11" s="11">
        <v>0.25</v>
      </c>
      <c r="D11" s="6"/>
      <c r="E11" s="8"/>
    </row>
    <row r="12" spans="2:7">
      <c r="B12" s="6" t="s">
        <v>24</v>
      </c>
      <c r="C12" s="11">
        <v>0.25</v>
      </c>
      <c r="D12" s="6"/>
      <c r="E12" s="8"/>
      <c r="G12" s="31"/>
    </row>
    <row r="13" spans="2:7">
      <c r="B13" s="6" t="s">
        <v>25</v>
      </c>
      <c r="C13" s="11">
        <v>0.25</v>
      </c>
      <c r="D13" s="6"/>
      <c r="E13" s="8"/>
    </row>
    <row r="14" spans="2:7">
      <c r="B14" s="6" t="s">
        <v>36</v>
      </c>
      <c r="C14" s="11">
        <v>0.25</v>
      </c>
      <c r="D14" s="6"/>
      <c r="E14" s="8"/>
    </row>
    <row r="15" spans="2:7">
      <c r="B15" s="12"/>
      <c r="C15" s="14"/>
      <c r="D15" s="12"/>
      <c r="E15" s="14"/>
    </row>
    <row r="16" spans="2:7">
      <c r="G16" s="31"/>
    </row>
    <row r="17" spans="3:18">
      <c r="C17" s="36" t="s">
        <v>75</v>
      </c>
      <c r="D17" s="38">
        <v>1.0011429892669601</v>
      </c>
    </row>
    <row r="18" spans="3:18">
      <c r="D18" s="39"/>
    </row>
    <row r="19" spans="3:18">
      <c r="C19" s="2" t="e">
        <f t="array" aca="1" ref="C19:D41" ca="1">_xludf.Price("price",F19:R32,C2,B5:C15,D5:E15)</f>
        <v>#NAME?</v>
      </c>
      <c r="D19" s="37" t="e">
        <f ca="1"/>
        <v>#NAME?</v>
      </c>
      <c r="F19" s="17" t="s">
        <v>28</v>
      </c>
      <c r="G19" s="4" t="s">
        <v>43</v>
      </c>
      <c r="H19" s="4"/>
      <c r="I19" s="4"/>
      <c r="J19" s="4"/>
      <c r="K19" s="4"/>
      <c r="L19" s="27"/>
      <c r="M19" s="32"/>
      <c r="N19" s="4"/>
      <c r="O19" s="4"/>
      <c r="P19" s="4"/>
      <c r="Q19" s="4"/>
      <c r="R19" s="5"/>
    </row>
    <row r="20" spans="3:18">
      <c r="C20" s="6" t="e">
        <f ca="1"/>
        <v>#NAME?</v>
      </c>
      <c r="D20" s="8" t="e">
        <f ca="1"/>
        <v>#NAME?</v>
      </c>
      <c r="F20" s="6"/>
      <c r="G20" s="7"/>
      <c r="H20" s="7"/>
      <c r="I20" s="7"/>
      <c r="J20" s="7"/>
      <c r="K20" s="7"/>
      <c r="L20" s="7"/>
      <c r="M20" s="33"/>
      <c r="N20" s="7"/>
      <c r="O20" s="7"/>
      <c r="P20" s="7"/>
      <c r="Q20" s="7"/>
      <c r="R20" s="8"/>
    </row>
    <row r="21" spans="3:18">
      <c r="C21" s="6" t="e">
        <f ca="1"/>
        <v>#NAME?</v>
      </c>
      <c r="D21" s="8" t="e">
        <f ca="1"/>
        <v>#NAME?</v>
      </c>
      <c r="F21" s="18" t="s">
        <v>29</v>
      </c>
      <c r="G21" s="7" t="s">
        <v>71</v>
      </c>
      <c r="H21" s="7"/>
      <c r="I21" s="7"/>
      <c r="J21" s="7"/>
      <c r="K21" s="7"/>
      <c r="L21" s="7"/>
      <c r="M21" s="33"/>
      <c r="N21" s="7"/>
      <c r="O21" s="7"/>
      <c r="P21" s="7"/>
      <c r="Q21" s="7"/>
      <c r="R21" s="8"/>
    </row>
    <row r="22" spans="3:18">
      <c r="C22" s="20" t="e">
        <f ca="1"/>
        <v>#NAME?</v>
      </c>
      <c r="D22" s="24" t="e">
        <f ca="1"/>
        <v>#NAME?</v>
      </c>
      <c r="F22" s="18" t="s">
        <v>30</v>
      </c>
      <c r="G22" s="19" t="s">
        <v>45</v>
      </c>
      <c r="H22" s="19" t="s">
        <v>32</v>
      </c>
      <c r="I22" s="19" t="s">
        <v>31</v>
      </c>
      <c r="J22" s="19" t="s">
        <v>42</v>
      </c>
      <c r="K22" s="7"/>
      <c r="L22" s="19" t="s">
        <v>44</v>
      </c>
      <c r="M22" s="34" t="s">
        <v>46</v>
      </c>
      <c r="N22" s="19" t="s">
        <v>49</v>
      </c>
      <c r="O22" s="19" t="s">
        <v>50</v>
      </c>
      <c r="P22" s="19" t="s">
        <v>47</v>
      </c>
      <c r="Q22" s="19" t="s">
        <v>48</v>
      </c>
      <c r="R22" s="22" t="s">
        <v>31</v>
      </c>
    </row>
    <row r="23" spans="3:18">
      <c r="C23" s="20" t="e">
        <f ca="1"/>
        <v>#NAME?</v>
      </c>
      <c r="D23" s="24" t="e">
        <f ca="1"/>
        <v>#NAME?</v>
      </c>
      <c r="F23" s="20">
        <v>43883</v>
      </c>
      <c r="G23" s="7" t="s">
        <v>4</v>
      </c>
      <c r="H23" s="21">
        <v>43883</v>
      </c>
      <c r="I23" s="7" t="s">
        <v>70</v>
      </c>
      <c r="J23" s="7">
        <v>0.78</v>
      </c>
      <c r="K23" s="7"/>
      <c r="L23" s="15">
        <v>42422</v>
      </c>
      <c r="M23" s="33" t="s">
        <v>72</v>
      </c>
      <c r="N23" s="15">
        <v>42422</v>
      </c>
      <c r="O23" s="7" t="s">
        <v>4</v>
      </c>
      <c r="P23" s="7" t="s">
        <v>51</v>
      </c>
      <c r="Q23" s="28">
        <v>1.1000000000000001</v>
      </c>
      <c r="R23" s="8" t="s">
        <v>70</v>
      </c>
    </row>
    <row r="24" spans="3:18">
      <c r="C24" s="20" t="e">
        <f ca="1"/>
        <v>#NAME?</v>
      </c>
      <c r="D24" s="24" t="e">
        <f ca="1"/>
        <v>#NAME?</v>
      </c>
      <c r="F24" s="20"/>
      <c r="G24" s="7"/>
      <c r="H24" s="21"/>
      <c r="I24" s="7"/>
      <c r="J24" s="7"/>
      <c r="K24" s="7"/>
      <c r="L24" s="15">
        <v>42788</v>
      </c>
      <c r="M24" s="33" t="s">
        <v>72</v>
      </c>
      <c r="N24" s="15">
        <v>42788</v>
      </c>
      <c r="O24" s="7" t="s">
        <v>4</v>
      </c>
      <c r="P24" s="7" t="s">
        <v>51</v>
      </c>
      <c r="Q24" s="28">
        <v>1.1000000000000001</v>
      </c>
      <c r="R24" s="8" t="s">
        <v>70</v>
      </c>
    </row>
    <row r="25" spans="3:18">
      <c r="C25" s="20" t="e">
        <f ca="1"/>
        <v>#NAME?</v>
      </c>
      <c r="D25" s="24" t="e">
        <f ca="1"/>
        <v>#NAME?</v>
      </c>
      <c r="F25" s="20"/>
      <c r="G25" s="7"/>
      <c r="H25" s="21"/>
      <c r="I25" s="7"/>
      <c r="J25" s="7"/>
      <c r="K25" s="7"/>
      <c r="L25" s="15">
        <v>43153</v>
      </c>
      <c r="M25" s="33" t="s">
        <v>72</v>
      </c>
      <c r="N25" s="15">
        <v>43153</v>
      </c>
      <c r="O25" s="7" t="s">
        <v>4</v>
      </c>
      <c r="P25" s="7" t="s">
        <v>51</v>
      </c>
      <c r="Q25" s="28">
        <v>1.1000000000000001</v>
      </c>
      <c r="R25" s="8" t="s">
        <v>70</v>
      </c>
    </row>
    <row r="26" spans="3:18">
      <c r="C26" s="20" t="e">
        <f ca="1"/>
        <v>#NAME?</v>
      </c>
      <c r="D26" s="24" t="e">
        <f ca="1"/>
        <v>#NAME?</v>
      </c>
      <c r="F26" s="20"/>
      <c r="G26" s="7"/>
      <c r="H26" s="21"/>
      <c r="I26" s="7"/>
      <c r="J26" s="7"/>
      <c r="K26" s="7"/>
      <c r="L26" s="15">
        <v>43518</v>
      </c>
      <c r="M26" s="33" t="s">
        <v>72</v>
      </c>
      <c r="N26" s="15">
        <v>43518</v>
      </c>
      <c r="O26" s="7" t="s">
        <v>4</v>
      </c>
      <c r="P26" s="7" t="s">
        <v>51</v>
      </c>
      <c r="Q26" s="28">
        <v>1.1000000000000001</v>
      </c>
      <c r="R26" s="8" t="s">
        <v>70</v>
      </c>
    </row>
    <row r="27" spans="3:18">
      <c r="C27" s="20" t="e">
        <f ca="1"/>
        <v>#NAME?</v>
      </c>
      <c r="D27" s="24" t="e">
        <f ca="1"/>
        <v>#NAME?</v>
      </c>
      <c r="F27" s="20"/>
      <c r="G27" s="7"/>
      <c r="H27" s="21"/>
      <c r="I27" s="7"/>
      <c r="J27" s="7"/>
      <c r="K27" s="7"/>
      <c r="L27" s="15">
        <v>43883</v>
      </c>
      <c r="M27" s="33" t="s">
        <v>72</v>
      </c>
      <c r="N27" s="15">
        <v>43883</v>
      </c>
      <c r="O27" s="7" t="s">
        <v>4</v>
      </c>
      <c r="P27" s="7" t="s">
        <v>51</v>
      </c>
      <c r="Q27" s="28">
        <v>1.1000000000000001</v>
      </c>
      <c r="R27" s="8" t="s">
        <v>70</v>
      </c>
    </row>
    <row r="28" spans="3:18">
      <c r="C28" s="20" t="e">
        <f ca="1"/>
        <v>#NAME?</v>
      </c>
      <c r="D28" s="24" t="e">
        <f ca="1"/>
        <v>#NAME?</v>
      </c>
      <c r="F28" s="20"/>
      <c r="G28" s="7"/>
      <c r="H28" s="21"/>
      <c r="I28" s="7"/>
      <c r="J28" s="7"/>
      <c r="K28" s="7"/>
      <c r="L28" s="15"/>
      <c r="M28" s="33"/>
      <c r="N28" s="15"/>
      <c r="O28" s="7"/>
      <c r="P28" s="7"/>
      <c r="Q28" s="28"/>
      <c r="R28" s="8"/>
    </row>
    <row r="29" spans="3:18">
      <c r="C29" s="20" t="e">
        <f ca="1"/>
        <v>#NAME?</v>
      </c>
      <c r="D29" s="24" t="e">
        <f ca="1"/>
        <v>#NAME?</v>
      </c>
      <c r="F29" s="20"/>
      <c r="G29" s="7"/>
      <c r="H29" s="21"/>
      <c r="I29" s="7"/>
      <c r="J29" s="7"/>
      <c r="K29" s="7"/>
      <c r="L29" s="15"/>
      <c r="M29" s="33"/>
      <c r="N29" s="15"/>
      <c r="O29" s="7"/>
      <c r="P29" s="7"/>
      <c r="Q29" s="28"/>
      <c r="R29" s="8"/>
    </row>
    <row r="30" spans="3:18">
      <c r="C30" s="25" t="e">
        <f ca="1"/>
        <v>#NAME?</v>
      </c>
      <c r="D30" s="26" t="e">
        <f ca="1"/>
        <v>#NAME?</v>
      </c>
      <c r="F30" s="20"/>
      <c r="G30" s="7"/>
      <c r="H30" s="21"/>
      <c r="I30" s="7"/>
      <c r="J30" s="7"/>
      <c r="K30" s="7"/>
      <c r="L30" s="15"/>
      <c r="M30" s="33"/>
      <c r="N30" s="15"/>
      <c r="O30" s="7"/>
      <c r="P30" s="7"/>
      <c r="Q30" s="28"/>
      <c r="R30" s="8"/>
    </row>
    <row r="31" spans="3:18">
      <c r="C31" t="e">
        <f ca="1"/>
        <v>#NAME?</v>
      </c>
      <c r="D31" t="e">
        <f ca="1"/>
        <v>#NAME?</v>
      </c>
      <c r="F31" s="20"/>
      <c r="G31" s="7"/>
      <c r="H31" s="21"/>
      <c r="I31" s="7"/>
      <c r="J31" s="7"/>
      <c r="K31" s="7"/>
      <c r="L31" s="15"/>
      <c r="M31" s="33"/>
      <c r="N31" s="15"/>
      <c r="O31" s="7"/>
      <c r="P31" s="7"/>
      <c r="Q31" s="28"/>
      <c r="R31" s="8"/>
    </row>
    <row r="32" spans="3:18">
      <c r="C32" t="e">
        <f ca="1"/>
        <v>#NAME?</v>
      </c>
      <c r="D32" t="e">
        <f ca="1"/>
        <v>#NAME?</v>
      </c>
      <c r="F32" s="12"/>
      <c r="G32" s="13"/>
      <c r="H32" s="13"/>
      <c r="I32" s="13"/>
      <c r="J32" s="13"/>
      <c r="K32" s="13"/>
      <c r="L32" s="13"/>
      <c r="M32" s="35"/>
      <c r="N32" s="13"/>
      <c r="O32" s="13"/>
      <c r="P32" s="13"/>
      <c r="Q32" s="13"/>
      <c r="R32" s="14"/>
    </row>
    <row r="33" spans="3:4">
      <c r="C33" t="e">
        <f ca="1"/>
        <v>#NAME?</v>
      </c>
      <c r="D33" t="e">
        <f ca="1"/>
        <v>#NAME?</v>
      </c>
    </row>
    <row r="34" spans="3:4">
      <c r="C34" t="e">
        <f ca="1"/>
        <v>#NAME?</v>
      </c>
      <c r="D34" t="e">
        <f ca="1"/>
        <v>#NAME?</v>
      </c>
    </row>
    <row r="35" spans="3:4">
      <c r="C35" t="e">
        <f ca="1"/>
        <v>#NAME?</v>
      </c>
      <c r="D35" t="e">
        <f ca="1"/>
        <v>#NAME?</v>
      </c>
    </row>
    <row r="36" spans="3:4">
      <c r="C36" t="e">
        <f ca="1"/>
        <v>#NAME?</v>
      </c>
      <c r="D36" t="e">
        <f ca="1"/>
        <v>#NAME?</v>
      </c>
    </row>
    <row r="37" spans="3:4">
      <c r="C37" t="e">
        <f ca="1"/>
        <v>#NAME?</v>
      </c>
      <c r="D37" t="e">
        <f ca="1"/>
        <v>#NAME?</v>
      </c>
    </row>
    <row r="38" spans="3:4">
      <c r="C38" t="e">
        <f ca="1"/>
        <v>#NAME?</v>
      </c>
      <c r="D38" t="e">
        <f ca="1"/>
        <v>#NAME?</v>
      </c>
    </row>
    <row r="39" spans="3:4">
      <c r="C39" t="e">
        <f ca="1"/>
        <v>#NAME?</v>
      </c>
      <c r="D39" t="e">
        <f ca="1"/>
        <v>#NAME?</v>
      </c>
    </row>
    <row r="40" spans="3:4">
      <c r="C40" t="e">
        <f ca="1"/>
        <v>#NAME?</v>
      </c>
      <c r="D40" t="e">
        <f ca="1"/>
        <v>#NAME?</v>
      </c>
    </row>
    <row r="41" spans="3:4">
      <c r="C41" t="e">
        <f ca="1"/>
        <v>#NAME?</v>
      </c>
      <c r="D41" t="e">
        <f ca="1"/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2:V29"/>
  <sheetViews>
    <sheetView zoomScale="70" zoomScaleNormal="70" workbookViewId="0">
      <selection activeCell="N32" sqref="N32"/>
    </sheetView>
  </sheetViews>
  <sheetFormatPr baseColWidth="10" defaultRowHeight="15"/>
  <cols>
    <col min="3" max="3" width="14.28515625" bestFit="1" customWidth="1"/>
    <col min="5" max="5" width="18.42578125" bestFit="1" customWidth="1"/>
    <col min="6" max="6" width="18.28515625" bestFit="1" customWidth="1"/>
    <col min="12" max="12" width="13.28515625" bestFit="1" customWidth="1"/>
    <col min="13" max="13" width="12.5703125" bestFit="1" customWidth="1"/>
    <col min="14" max="14" width="12.7109375" bestFit="1" customWidth="1"/>
  </cols>
  <sheetData>
    <row r="2" spans="2:22">
      <c r="B2" s="2" t="s">
        <v>0</v>
      </c>
      <c r="C2" s="3">
        <v>42057</v>
      </c>
      <c r="D2" s="4"/>
      <c r="E2" s="4"/>
      <c r="F2" s="4" t="s">
        <v>1</v>
      </c>
      <c r="G2" s="4" t="s">
        <v>2</v>
      </c>
      <c r="H2" s="4" t="s">
        <v>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</row>
    <row r="3" spans="2:22">
      <c r="B3" s="6"/>
      <c r="C3" s="7"/>
      <c r="D3" s="7"/>
      <c r="E3" s="7"/>
      <c r="F3" s="7" t="s">
        <v>52</v>
      </c>
      <c r="G3" s="7">
        <v>1</v>
      </c>
      <c r="H3" s="7" t="s">
        <v>4</v>
      </c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8"/>
    </row>
    <row r="4" spans="2:22">
      <c r="B4" s="6" t="s">
        <v>11</v>
      </c>
      <c r="C4" s="7" t="s">
        <v>26</v>
      </c>
      <c r="D4" s="7" t="s">
        <v>27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8"/>
    </row>
    <row r="5" spans="2:22">
      <c r="B5" s="6" t="s">
        <v>6</v>
      </c>
      <c r="C5" s="10">
        <v>1</v>
      </c>
      <c r="D5" s="10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8"/>
    </row>
    <row r="6" spans="2:22">
      <c r="B6" s="6" t="s">
        <v>7</v>
      </c>
      <c r="C6" s="10">
        <v>1</v>
      </c>
      <c r="D6" s="10">
        <v>1</v>
      </c>
      <c r="E6" s="7"/>
      <c r="F6" s="7" t="s">
        <v>53</v>
      </c>
      <c r="G6" s="7" t="s">
        <v>9</v>
      </c>
      <c r="H6" s="7" t="s">
        <v>10</v>
      </c>
      <c r="I6" s="7"/>
      <c r="J6" s="7" t="s">
        <v>5</v>
      </c>
      <c r="K6" s="7" t="s">
        <v>52</v>
      </c>
      <c r="L6" s="7"/>
      <c r="M6" s="7" t="s">
        <v>54</v>
      </c>
      <c r="N6" s="7">
        <v>2122.857308994217</v>
      </c>
      <c r="O6" s="7">
        <v>2592.8637723860124</v>
      </c>
      <c r="P6" s="7">
        <v>3166.9309631258584</v>
      </c>
      <c r="Q6" s="7">
        <v>3500</v>
      </c>
      <c r="R6" s="7">
        <v>3868.0982132647669</v>
      </c>
      <c r="S6" s="7">
        <v>4724.5058265160114</v>
      </c>
      <c r="T6" s="7">
        <v>5770.5244474504489</v>
      </c>
      <c r="U6" s="7"/>
      <c r="V6" s="8"/>
    </row>
    <row r="7" spans="2:22">
      <c r="B7" s="6" t="s">
        <v>12</v>
      </c>
      <c r="C7" s="10">
        <v>1</v>
      </c>
      <c r="D7" s="10">
        <v>1</v>
      </c>
      <c r="E7" s="7"/>
      <c r="F7" s="15">
        <v>42238</v>
      </c>
      <c r="G7" s="10">
        <v>0</v>
      </c>
      <c r="H7" s="10">
        <v>0</v>
      </c>
      <c r="I7" s="7"/>
      <c r="J7" s="7" t="s">
        <v>6</v>
      </c>
      <c r="K7" s="9">
        <v>0</v>
      </c>
      <c r="L7" s="7"/>
      <c r="M7" s="15">
        <v>42085</v>
      </c>
      <c r="N7" s="16">
        <v>0.23</v>
      </c>
      <c r="O7" s="16">
        <v>0.23</v>
      </c>
      <c r="P7" s="16">
        <v>0.23</v>
      </c>
      <c r="Q7" s="16">
        <v>0.23</v>
      </c>
      <c r="R7" s="16">
        <v>0.23</v>
      </c>
      <c r="S7" s="16">
        <v>0.23</v>
      </c>
      <c r="T7" s="16">
        <v>0.23</v>
      </c>
      <c r="U7" s="7"/>
      <c r="V7" s="8"/>
    </row>
    <row r="8" spans="2:22">
      <c r="B8" s="6" t="s">
        <v>13</v>
      </c>
      <c r="C8" s="10">
        <v>1</v>
      </c>
      <c r="D8" s="10">
        <v>1</v>
      </c>
      <c r="E8" s="7"/>
      <c r="F8" s="15">
        <v>42422</v>
      </c>
      <c r="G8" s="10">
        <v>0</v>
      </c>
      <c r="H8" s="10">
        <v>0</v>
      </c>
      <c r="I8" s="7"/>
      <c r="J8" s="7" t="s">
        <v>7</v>
      </c>
      <c r="K8" s="9">
        <v>0</v>
      </c>
      <c r="L8" s="7"/>
      <c r="M8" s="15">
        <v>42146</v>
      </c>
      <c r="N8" s="16">
        <v>0.23</v>
      </c>
      <c r="O8" s="16">
        <v>0.23</v>
      </c>
      <c r="P8" s="16">
        <v>0.23</v>
      </c>
      <c r="Q8" s="16">
        <v>0.23</v>
      </c>
      <c r="R8" s="16">
        <v>0.23</v>
      </c>
      <c r="S8" s="16">
        <v>0.23</v>
      </c>
      <c r="T8" s="16">
        <v>0.23</v>
      </c>
      <c r="U8" s="7"/>
      <c r="V8" s="8"/>
    </row>
    <row r="9" spans="2:22">
      <c r="B9" s="6" t="s">
        <v>8</v>
      </c>
      <c r="C9" s="10">
        <v>1</v>
      </c>
      <c r="D9" s="10">
        <v>1</v>
      </c>
      <c r="E9" s="7"/>
      <c r="F9" s="15">
        <v>42604</v>
      </c>
      <c r="G9" s="10">
        <v>0</v>
      </c>
      <c r="H9" s="10">
        <v>0</v>
      </c>
      <c r="I9" s="7"/>
      <c r="J9" s="7" t="s">
        <v>8</v>
      </c>
      <c r="K9" s="9">
        <v>0</v>
      </c>
      <c r="L9" s="7"/>
      <c r="M9" s="15">
        <v>42238</v>
      </c>
      <c r="N9" s="16">
        <v>0.23</v>
      </c>
      <c r="O9" s="16">
        <v>0.23</v>
      </c>
      <c r="P9" s="16">
        <v>0.23</v>
      </c>
      <c r="Q9" s="16">
        <v>0.23</v>
      </c>
      <c r="R9" s="16">
        <v>0.23</v>
      </c>
      <c r="S9" s="16">
        <v>0.23</v>
      </c>
      <c r="T9" s="16">
        <v>0.23</v>
      </c>
      <c r="U9" s="7"/>
      <c r="V9" s="8"/>
    </row>
    <row r="10" spans="2:22">
      <c r="B10" s="6" t="s">
        <v>55</v>
      </c>
      <c r="C10" s="10">
        <v>1</v>
      </c>
      <c r="D10" s="10">
        <v>1</v>
      </c>
      <c r="E10" s="7"/>
      <c r="F10" s="15">
        <v>42788</v>
      </c>
      <c r="G10" s="10">
        <v>0</v>
      </c>
      <c r="H10" s="10">
        <v>0</v>
      </c>
      <c r="I10" s="7"/>
      <c r="J10" s="7"/>
      <c r="K10" s="7"/>
      <c r="L10" s="7"/>
      <c r="M10" s="15">
        <v>42360</v>
      </c>
      <c r="N10" s="16">
        <v>0.23</v>
      </c>
      <c r="O10" s="16">
        <v>0.23</v>
      </c>
      <c r="P10" s="16">
        <v>0.23</v>
      </c>
      <c r="Q10" s="16">
        <v>0.23</v>
      </c>
      <c r="R10" s="16">
        <v>0.23</v>
      </c>
      <c r="S10" s="16">
        <v>0.23</v>
      </c>
      <c r="T10" s="16">
        <v>0.23</v>
      </c>
      <c r="U10" s="7"/>
      <c r="V10" s="8"/>
    </row>
    <row r="11" spans="2:22">
      <c r="B11" s="6" t="s">
        <v>56</v>
      </c>
      <c r="C11" s="10">
        <v>1</v>
      </c>
      <c r="D11" s="10">
        <v>1</v>
      </c>
      <c r="E11" s="7"/>
      <c r="F11" s="15">
        <v>42969</v>
      </c>
      <c r="G11" s="10">
        <v>0</v>
      </c>
      <c r="H11" s="10">
        <v>0</v>
      </c>
      <c r="I11" s="7"/>
      <c r="J11" s="7"/>
      <c r="K11" s="7"/>
      <c r="L11" s="7"/>
      <c r="M11" s="15">
        <v>42422</v>
      </c>
      <c r="N11" s="16">
        <v>0.23</v>
      </c>
      <c r="O11" s="16">
        <v>0.23</v>
      </c>
      <c r="P11" s="16">
        <v>0.23</v>
      </c>
      <c r="Q11" s="16">
        <v>0.23</v>
      </c>
      <c r="R11" s="16">
        <v>0.23</v>
      </c>
      <c r="S11" s="16">
        <v>0.23</v>
      </c>
      <c r="T11" s="16">
        <v>0.23</v>
      </c>
      <c r="U11" s="7"/>
      <c r="V11" s="8"/>
    </row>
    <row r="12" spans="2:22">
      <c r="B12" s="6" t="s">
        <v>57</v>
      </c>
      <c r="C12" s="10">
        <v>1</v>
      </c>
      <c r="D12" s="10">
        <v>1</v>
      </c>
      <c r="E12" s="7"/>
      <c r="F12" s="15">
        <v>43153</v>
      </c>
      <c r="G12" s="10">
        <v>0</v>
      </c>
      <c r="H12" s="10">
        <v>0</v>
      </c>
      <c r="I12" s="7"/>
      <c r="J12" s="7"/>
      <c r="K12" s="7"/>
      <c r="L12" s="7"/>
      <c r="M12" s="15">
        <v>42816</v>
      </c>
      <c r="N12" s="16">
        <v>0.23</v>
      </c>
      <c r="O12" s="16">
        <v>0.23</v>
      </c>
      <c r="P12" s="16">
        <v>0.23</v>
      </c>
      <c r="Q12" s="16">
        <v>0.23</v>
      </c>
      <c r="R12" s="16">
        <v>0.23</v>
      </c>
      <c r="S12" s="16">
        <v>0.23</v>
      </c>
      <c r="T12" s="16">
        <v>0.23</v>
      </c>
      <c r="U12" s="7"/>
      <c r="V12" s="8"/>
    </row>
    <row r="13" spans="2:22">
      <c r="B13" s="6" t="s">
        <v>58</v>
      </c>
      <c r="C13" s="10">
        <v>1</v>
      </c>
      <c r="D13" s="10">
        <v>1</v>
      </c>
      <c r="E13" s="7"/>
      <c r="F13" s="15">
        <v>43334</v>
      </c>
      <c r="G13" s="10">
        <v>0</v>
      </c>
      <c r="H13" s="10">
        <v>0</v>
      </c>
      <c r="I13" s="7"/>
      <c r="J13" s="7"/>
      <c r="K13" s="7"/>
      <c r="L13" s="7"/>
      <c r="M13" s="7"/>
      <c r="N13" s="10"/>
      <c r="O13" s="10"/>
      <c r="P13" s="7"/>
      <c r="Q13" s="7"/>
      <c r="R13" s="7"/>
      <c r="S13" s="7"/>
      <c r="T13" s="7"/>
      <c r="U13" s="7"/>
      <c r="V13" s="8"/>
    </row>
    <row r="14" spans="2:22">
      <c r="B14" s="6" t="s">
        <v>59</v>
      </c>
      <c r="C14" s="10">
        <v>1</v>
      </c>
      <c r="D14" s="10">
        <v>1</v>
      </c>
      <c r="E14" s="7"/>
      <c r="F14" s="15">
        <v>43518</v>
      </c>
      <c r="G14" s="10">
        <v>0</v>
      </c>
      <c r="H14" s="10">
        <v>0</v>
      </c>
      <c r="I14" s="7"/>
      <c r="J14" s="7"/>
      <c r="K14" s="7"/>
      <c r="L14" s="7"/>
      <c r="M14" s="7"/>
      <c r="N14" s="10"/>
      <c r="O14" s="10"/>
      <c r="P14" s="7"/>
      <c r="Q14" s="7"/>
      <c r="R14" s="7"/>
      <c r="S14" s="7"/>
      <c r="T14" s="7"/>
      <c r="U14" s="7"/>
      <c r="V14" s="8"/>
    </row>
    <row r="15" spans="2:22">
      <c r="B15" s="6" t="s">
        <v>60</v>
      </c>
      <c r="C15" s="10">
        <v>1</v>
      </c>
      <c r="D15" s="10">
        <v>1</v>
      </c>
      <c r="E15" s="7"/>
      <c r="F15" s="15">
        <v>43699</v>
      </c>
      <c r="G15" s="10">
        <v>0</v>
      </c>
      <c r="H15" s="10">
        <v>0</v>
      </c>
      <c r="I15" s="7"/>
      <c r="J15" s="7"/>
      <c r="K15" s="7"/>
      <c r="L15" s="7"/>
      <c r="M15" s="7"/>
      <c r="N15" s="10"/>
      <c r="O15" s="10"/>
      <c r="P15" s="7"/>
      <c r="Q15" s="7"/>
      <c r="R15" s="7"/>
      <c r="S15" s="7"/>
      <c r="T15" s="7"/>
      <c r="U15" s="7"/>
      <c r="V15" s="8"/>
    </row>
    <row r="16" spans="2:22">
      <c r="B16" s="6" t="s">
        <v>61</v>
      </c>
      <c r="C16" s="10">
        <v>1</v>
      </c>
      <c r="D16" s="10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8"/>
    </row>
    <row r="17" spans="2:22">
      <c r="B17" s="6" t="s">
        <v>62</v>
      </c>
      <c r="C17" s="10">
        <v>1</v>
      </c>
      <c r="D17" s="10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9"/>
      <c r="R17" s="7"/>
      <c r="S17" s="7"/>
      <c r="T17" s="7"/>
      <c r="U17" s="7"/>
      <c r="V17" s="8"/>
    </row>
    <row r="18" spans="2:22">
      <c r="B18" s="6" t="s">
        <v>63</v>
      </c>
      <c r="C18" s="10">
        <v>1</v>
      </c>
      <c r="D18" s="10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9"/>
      <c r="R18" s="7"/>
      <c r="S18" s="7"/>
      <c r="T18" s="7"/>
      <c r="U18" s="7"/>
      <c r="V18" s="8"/>
    </row>
    <row r="19" spans="2:22">
      <c r="B19" s="6" t="s">
        <v>64</v>
      </c>
      <c r="C19" s="10">
        <v>1</v>
      </c>
      <c r="D19" s="10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9"/>
      <c r="R19" s="7"/>
      <c r="S19" s="7"/>
      <c r="T19" s="7"/>
      <c r="U19" s="7"/>
      <c r="V19" s="8"/>
    </row>
    <row r="20" spans="2:22">
      <c r="B20" s="6" t="s">
        <v>65</v>
      </c>
      <c r="C20" s="10">
        <v>1</v>
      </c>
      <c r="D20" s="10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8"/>
    </row>
    <row r="21" spans="2:22">
      <c r="B21" s="6" t="s">
        <v>66</v>
      </c>
      <c r="C21" s="10">
        <v>1</v>
      </c>
      <c r="D21" s="10">
        <v>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8"/>
    </row>
    <row r="22" spans="2:22">
      <c r="B22" s="6" t="s">
        <v>67</v>
      </c>
      <c r="C22" s="10">
        <v>1</v>
      </c>
      <c r="D22" s="10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8"/>
    </row>
    <row r="23" spans="2:22">
      <c r="B23" s="6" t="s">
        <v>68</v>
      </c>
      <c r="C23" s="10">
        <v>1</v>
      </c>
      <c r="D23" s="10">
        <v>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8"/>
    </row>
    <row r="24" spans="2:22">
      <c r="B24" s="6" t="s">
        <v>69</v>
      </c>
      <c r="C24" s="10">
        <v>1</v>
      </c>
      <c r="D24" s="10">
        <v>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9"/>
      <c r="Q24" s="7"/>
      <c r="R24" s="7"/>
      <c r="S24" s="7"/>
      <c r="T24" s="7"/>
      <c r="U24" s="7"/>
      <c r="V24" s="8"/>
    </row>
    <row r="25" spans="2:22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8"/>
    </row>
    <row r="26" spans="2:22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8"/>
    </row>
    <row r="27" spans="2:22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8"/>
    </row>
    <row r="28" spans="2:22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8"/>
    </row>
    <row r="29" spans="2:22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Test</vt:lpstr>
      <vt:lpstr>Autocall</vt:lpstr>
      <vt:lpstr>Market</vt:lpstr>
      <vt:lpstr>Market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2015-10-19T21:12:39Z</dcterms:modified>
</cp:coreProperties>
</file>